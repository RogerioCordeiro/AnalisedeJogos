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Users\Rogerio\Documents\Projetos VBA Excel\"/>
    </mc:Choice>
  </mc:AlternateContent>
  <xr:revisionPtr revIDLastSave="0" documentId="13_ncr:1_{362032E8-F76E-4AF2-9AE8-7535A721CAC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GOS" sheetId="64" r:id="rId1"/>
    <sheet name="ANALISES" sheetId="1" r:id="rId2"/>
    <sheet name="GOLS e CANTOS" sheetId="65" r:id="rId3"/>
    <sheet name="TIPS" sheetId="33" r:id="rId4"/>
    <sheet name="PROJETO" sheetId="105" r:id="rId5"/>
    <sheet name="WHATS TIPS" sheetId="100" state="hidden" r:id="rId6"/>
    <sheet name="CALCULADORA" sheetId="45" state="hidden" r:id="rId7"/>
    <sheet name="+++ BANCA+++" sheetId="61" state="hidden" r:id="rId8"/>
  </sheets>
  <functionGroups builtInGroupCount="19"/>
  <definedNames>
    <definedName name="_xlnm._FilterDatabase" localSheetId="1" hidden="1">ANALISES!#REF!</definedName>
    <definedName name="_xlnm._FilterDatabase" localSheetId="2" hidden="1">'GOLS e CANTOS'!$A$40:$I$60</definedName>
    <definedName name="_xlnm._FilterDatabase" localSheetId="0" hidden="1">JOGOS!$A$5:$G$449</definedName>
    <definedName name="_xlnm._FilterDatabase" localSheetId="3" hidden="1">TIPS!$A$1:$T$2</definedName>
    <definedName name="_xlnm._FilterDatabase" localSheetId="5" hidden="1">'WHATS TIPS'!$A$40:$G$40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05" l="1"/>
  <c r="I3" i="105" s="1"/>
  <c r="K29" i="105"/>
  <c r="K28" i="105"/>
  <c r="L28" i="105" s="1"/>
  <c r="K27" i="105"/>
  <c r="K26" i="105"/>
  <c r="L26" i="105" s="1"/>
  <c r="K25" i="105"/>
  <c r="L25" i="105" s="1"/>
  <c r="K24" i="105"/>
  <c r="L24" i="105" s="1"/>
  <c r="K23" i="105"/>
  <c r="L23" i="105" s="1"/>
  <c r="K22" i="105"/>
  <c r="K21" i="105"/>
  <c r="K20" i="105"/>
  <c r="K19" i="105"/>
  <c r="K18" i="105"/>
  <c r="K17" i="105"/>
  <c r="K16" i="105"/>
  <c r="K15" i="105"/>
  <c r="K14" i="105"/>
  <c r="K13" i="105"/>
  <c r="K12" i="105"/>
  <c r="K11" i="105"/>
  <c r="K10" i="105"/>
  <c r="K9" i="105"/>
  <c r="K8" i="105"/>
  <c r="K7" i="105"/>
  <c r="K6" i="105"/>
  <c r="K5" i="105"/>
  <c r="L27" i="105"/>
  <c r="L29" i="105"/>
  <c r="L2" i="105"/>
  <c r="K2" i="105"/>
  <c r="J2" i="105"/>
  <c r="L22" i="105"/>
  <c r="L21" i="105"/>
  <c r="L20" i="105"/>
  <c r="L19" i="105"/>
  <c r="L18" i="105"/>
  <c r="L17" i="105"/>
  <c r="L3" i="105" l="1"/>
  <c r="K3" i="105"/>
  <c r="J3" i="105"/>
  <c r="L15" i="105"/>
  <c r="L16" i="105"/>
  <c r="L14" i="105" l="1"/>
  <c r="L13" i="105"/>
  <c r="L12" i="105"/>
  <c r="L11" i="105"/>
  <c r="L10" i="105"/>
  <c r="L9" i="105"/>
  <c r="L8" i="105"/>
  <c r="L7" i="105"/>
  <c r="L6" i="105"/>
  <c r="L5" i="105"/>
  <c r="N12" i="1" l="1"/>
  <c r="M12" i="1"/>
  <c r="N11" i="1"/>
  <c r="M11" i="1"/>
  <c r="N10" i="1"/>
  <c r="O2" i="33" s="1"/>
  <c r="M10" i="1"/>
  <c r="N9" i="1"/>
  <c r="M9" i="1"/>
  <c r="E2" i="33"/>
  <c r="D2" i="33"/>
  <c r="E15" i="1" l="1"/>
  <c r="D15" i="1"/>
  <c r="P2" i="33"/>
  <c r="N2" i="33"/>
  <c r="Q2" i="33"/>
  <c r="M6" i="1"/>
  <c r="N6" i="1"/>
  <c r="N28" i="65"/>
  <c r="N37" i="65" s="1"/>
  <c r="L15" i="65"/>
  <c r="N24" i="65" s="1"/>
  <c r="N23" i="65"/>
  <c r="N18" i="65"/>
  <c r="K15" i="1" l="1"/>
  <c r="M2" i="33"/>
  <c r="F15" i="1"/>
  <c r="G15" i="1"/>
  <c r="I15" i="1"/>
  <c r="H15" i="1"/>
  <c r="J15" i="1"/>
  <c r="N31" i="65"/>
  <c r="N36" i="65"/>
  <c r="L29" i="65"/>
  <c r="L32" i="65"/>
  <c r="L37" i="65"/>
  <c r="L39" i="65" s="1"/>
  <c r="N29" i="65"/>
  <c r="N32" i="65"/>
  <c r="L16" i="65"/>
  <c r="L19" i="65"/>
  <c r="L24" i="65"/>
  <c r="L26" i="65" s="1"/>
  <c r="N16" i="65"/>
  <c r="N19" i="65"/>
  <c r="L31" i="65"/>
  <c r="L36" i="65"/>
  <c r="L18" i="65"/>
  <c r="L23" i="65"/>
  <c r="I11" i="1"/>
  <c r="F11" i="1"/>
  <c r="C11" i="1"/>
  <c r="F19" i="1" l="1"/>
  <c r="S2" i="33" s="1"/>
  <c r="I19" i="1"/>
  <c r="T2" i="33" s="1"/>
  <c r="L34" i="65"/>
  <c r="L21" i="65"/>
  <c r="AH39" i="65"/>
  <c r="AN51" i="65" s="1"/>
  <c r="AG39" i="65"/>
  <c r="Z15" i="65"/>
  <c r="Y15" i="65"/>
  <c r="AF35" i="65" s="1"/>
  <c r="R1" i="65"/>
  <c r="Q1" i="65"/>
  <c r="P3" i="65"/>
  <c r="AA32" i="65" l="1"/>
  <c r="AC24" i="65"/>
  <c r="AD36" i="65"/>
  <c r="AF28" i="65"/>
  <c r="AB27" i="65"/>
  <c r="AD20" i="65"/>
  <c r="AE31" i="65"/>
  <c r="AA24" i="65"/>
  <c r="AB19" i="65"/>
  <c r="AB35" i="65"/>
  <c r="AC32" i="65"/>
  <c r="AD28" i="65"/>
  <c r="AE23" i="65"/>
  <c r="AF20" i="65"/>
  <c r="AF36" i="65"/>
  <c r="AH45" i="65"/>
  <c r="AH53" i="65"/>
  <c r="AI44" i="65"/>
  <c r="AI52" i="65"/>
  <c r="AI60" i="65"/>
  <c r="AJ47" i="65"/>
  <c r="AJ55" i="65"/>
  <c r="AK42" i="65"/>
  <c r="AK50" i="65"/>
  <c r="AK58" i="65"/>
  <c r="AL45" i="65"/>
  <c r="AL53" i="65"/>
  <c r="AM44" i="65"/>
  <c r="AM52" i="65"/>
  <c r="AM60" i="65"/>
  <c r="AN47" i="65"/>
  <c r="AH41" i="65"/>
  <c r="AH49" i="65"/>
  <c r="AH57" i="65"/>
  <c r="AI48" i="65"/>
  <c r="AI56" i="65"/>
  <c r="AJ43" i="65"/>
  <c r="AJ51" i="65"/>
  <c r="AJ59" i="65"/>
  <c r="AK46" i="65"/>
  <c r="AK54" i="65"/>
  <c r="AL41" i="65"/>
  <c r="AL49" i="65"/>
  <c r="AL57" i="65"/>
  <c r="AM48" i="65"/>
  <c r="AM56" i="65"/>
  <c r="AN43" i="65"/>
  <c r="AA20" i="65"/>
  <c r="AA28" i="65"/>
  <c r="AA36" i="65"/>
  <c r="AB23" i="65"/>
  <c r="AB31" i="65"/>
  <c r="AC20" i="65"/>
  <c r="AC28" i="65"/>
  <c r="AC36" i="65"/>
  <c r="AD24" i="65"/>
  <c r="AD32" i="65"/>
  <c r="AE19" i="65"/>
  <c r="AE27" i="65"/>
  <c r="AE35" i="65"/>
  <c r="AF24" i="65"/>
  <c r="AF32" i="65"/>
  <c r="AN60" i="65"/>
  <c r="AN58" i="65"/>
  <c r="AN56" i="65"/>
  <c r="AN54" i="65"/>
  <c r="AN52" i="65"/>
  <c r="AN50" i="65"/>
  <c r="AN48" i="65"/>
  <c r="AN46" i="65"/>
  <c r="AN44" i="65"/>
  <c r="AN42" i="65"/>
  <c r="AM59" i="65"/>
  <c r="AM57" i="65"/>
  <c r="AM55" i="65"/>
  <c r="AM53" i="65"/>
  <c r="AM51" i="65"/>
  <c r="AM49" i="65"/>
  <c r="AM47" i="65"/>
  <c r="AM45" i="65"/>
  <c r="AM43" i="65"/>
  <c r="AM41" i="65"/>
  <c r="AL60" i="65"/>
  <c r="AL58" i="65"/>
  <c r="AL56" i="65"/>
  <c r="AL54" i="65"/>
  <c r="AL52" i="65"/>
  <c r="AL50" i="65"/>
  <c r="AL48" i="65"/>
  <c r="AL46" i="65"/>
  <c r="AL44" i="65"/>
  <c r="AL42" i="65"/>
  <c r="AK59" i="65"/>
  <c r="AK57" i="65"/>
  <c r="AK55" i="65"/>
  <c r="AK53" i="65"/>
  <c r="AK51" i="65"/>
  <c r="AK49" i="65"/>
  <c r="AK47" i="65"/>
  <c r="AK45" i="65"/>
  <c r="AK43" i="65"/>
  <c r="AK41" i="65"/>
  <c r="AJ60" i="65"/>
  <c r="AJ58" i="65"/>
  <c r="AJ56" i="65"/>
  <c r="AJ54" i="65"/>
  <c r="AJ52" i="65"/>
  <c r="AJ50" i="65"/>
  <c r="AJ48" i="65"/>
  <c r="AJ46" i="65"/>
  <c r="AJ44" i="65"/>
  <c r="AJ42" i="65"/>
  <c r="AI59" i="65"/>
  <c r="AI57" i="65"/>
  <c r="AI55" i="65"/>
  <c r="AI53" i="65"/>
  <c r="AI51" i="65"/>
  <c r="AI49" i="65"/>
  <c r="AI47" i="65"/>
  <c r="AI45" i="65"/>
  <c r="AI43" i="65"/>
  <c r="AI41" i="65"/>
  <c r="AH60" i="65"/>
  <c r="AH58" i="65"/>
  <c r="AH56" i="65"/>
  <c r="AH54" i="65"/>
  <c r="AH52" i="65"/>
  <c r="AH50" i="65"/>
  <c r="AH48" i="65"/>
  <c r="AH46" i="65"/>
  <c r="AH44" i="65"/>
  <c r="AH42" i="65"/>
  <c r="AG41" i="65"/>
  <c r="AN59" i="65"/>
  <c r="AN57" i="65"/>
  <c r="AN55" i="65"/>
  <c r="AH43" i="65"/>
  <c r="AH47" i="65"/>
  <c r="AH51" i="65"/>
  <c r="AH55" i="65"/>
  <c r="AH59" i="65"/>
  <c r="AI42" i="65"/>
  <c r="AI46" i="65"/>
  <c r="AI50" i="65"/>
  <c r="AI54" i="65"/>
  <c r="AI58" i="65"/>
  <c r="AJ41" i="65"/>
  <c r="AJ45" i="65"/>
  <c r="AJ49" i="65"/>
  <c r="AJ53" i="65"/>
  <c r="AJ57" i="65"/>
  <c r="AK44" i="65"/>
  <c r="AK48" i="65"/>
  <c r="AK52" i="65"/>
  <c r="AK56" i="65"/>
  <c r="AK60" i="65"/>
  <c r="AL43" i="65"/>
  <c r="AL47" i="65"/>
  <c r="AL51" i="65"/>
  <c r="AL55" i="65"/>
  <c r="AL59" i="65"/>
  <c r="AM42" i="65"/>
  <c r="AM46" i="65"/>
  <c r="AM50" i="65"/>
  <c r="AM54" i="65"/>
  <c r="AM58" i="65"/>
  <c r="AN41" i="65"/>
  <c r="AN45" i="65"/>
  <c r="AN49" i="65"/>
  <c r="AN53" i="65"/>
  <c r="AA18" i="65"/>
  <c r="AA22" i="65"/>
  <c r="AA26" i="65"/>
  <c r="AA30" i="65"/>
  <c r="AA34" i="65"/>
  <c r="AB17" i="65"/>
  <c r="AB21" i="65"/>
  <c r="AB25" i="65"/>
  <c r="AB29" i="65"/>
  <c r="AB33" i="65"/>
  <c r="AC18" i="65"/>
  <c r="AC22" i="65"/>
  <c r="AC26" i="65"/>
  <c r="AC30" i="65"/>
  <c r="AC34" i="65"/>
  <c r="AD18" i="65"/>
  <c r="AD22" i="65"/>
  <c r="AD26" i="65"/>
  <c r="AD30" i="65"/>
  <c r="AD34" i="65"/>
  <c r="AE17" i="65"/>
  <c r="AE21" i="65"/>
  <c r="AE25" i="65"/>
  <c r="AE29" i="65"/>
  <c r="AE33" i="65"/>
  <c r="AF18" i="65"/>
  <c r="AF22" i="65"/>
  <c r="AF26" i="65"/>
  <c r="AF30" i="65"/>
  <c r="AF34" i="65"/>
  <c r="AA17" i="65"/>
  <c r="AA19" i="65"/>
  <c r="AA21" i="65"/>
  <c r="AA23" i="65"/>
  <c r="AA25" i="65"/>
  <c r="AA27" i="65"/>
  <c r="AA29" i="65"/>
  <c r="AA31" i="65"/>
  <c r="AA33" i="65"/>
  <c r="AA35" i="65"/>
  <c r="AB18" i="65"/>
  <c r="AB20" i="65"/>
  <c r="AB22" i="65"/>
  <c r="AB24" i="65"/>
  <c r="AB26" i="65"/>
  <c r="AB28" i="65"/>
  <c r="AB30" i="65"/>
  <c r="AB32" i="65"/>
  <c r="AB34" i="65"/>
  <c r="AB36" i="65"/>
  <c r="AC17" i="65"/>
  <c r="AC19" i="65"/>
  <c r="AC21" i="65"/>
  <c r="AC23" i="65"/>
  <c r="AC25" i="65"/>
  <c r="AC27" i="65"/>
  <c r="AC29" i="65"/>
  <c r="AC31" i="65"/>
  <c r="AC33" i="65"/>
  <c r="AC35" i="65"/>
  <c r="AD17" i="65"/>
  <c r="AD19" i="65"/>
  <c r="AD21" i="65"/>
  <c r="AD23" i="65"/>
  <c r="AD25" i="65"/>
  <c r="AD27" i="65"/>
  <c r="AD29" i="65"/>
  <c r="AD31" i="65"/>
  <c r="AD33" i="65"/>
  <c r="AD35" i="65"/>
  <c r="AE18" i="65"/>
  <c r="AE20" i="65"/>
  <c r="AE22" i="65"/>
  <c r="AE24" i="65"/>
  <c r="AE26" i="65"/>
  <c r="AE28" i="65"/>
  <c r="AE30" i="65"/>
  <c r="AE32" i="65"/>
  <c r="AE34" i="65"/>
  <c r="AE36" i="65"/>
  <c r="AF17" i="65"/>
  <c r="AF19" i="65"/>
  <c r="AF21" i="65"/>
  <c r="AF23" i="65"/>
  <c r="AF25" i="65"/>
  <c r="AF27" i="65"/>
  <c r="AF29" i="65"/>
  <c r="AF31" i="65"/>
  <c r="AF33" i="65"/>
  <c r="Z17" i="65"/>
  <c r="Z19" i="65"/>
  <c r="Z21" i="65"/>
  <c r="Z23" i="65"/>
  <c r="Z25" i="65"/>
  <c r="Z27" i="65"/>
  <c r="Z29" i="65"/>
  <c r="Z31" i="65"/>
  <c r="Z33" i="65"/>
  <c r="Z35" i="65"/>
  <c r="Y17" i="65"/>
  <c r="Z18" i="65"/>
  <c r="Z20" i="65"/>
  <c r="Z22" i="65"/>
  <c r="Z24" i="65"/>
  <c r="Z26" i="65"/>
  <c r="Z28" i="65"/>
  <c r="Z30" i="65"/>
  <c r="Z32" i="65"/>
  <c r="Z34" i="65"/>
  <c r="Z36" i="65"/>
  <c r="Q3" i="65"/>
  <c r="Q5" i="65"/>
  <c r="Q7" i="65"/>
  <c r="Q9" i="65"/>
  <c r="Q11" i="65"/>
  <c r="Q13" i="65"/>
  <c r="R3" i="65"/>
  <c r="R5" i="65"/>
  <c r="R7" i="65"/>
  <c r="R9" i="65"/>
  <c r="R11" i="65"/>
  <c r="S3" i="65"/>
  <c r="S5" i="65"/>
  <c r="S7" i="65"/>
  <c r="S9" i="65"/>
  <c r="S11" i="65"/>
  <c r="T11" i="65"/>
  <c r="T9" i="65"/>
  <c r="T7" i="65"/>
  <c r="T5" i="65"/>
  <c r="T3" i="65"/>
  <c r="U4" i="65"/>
  <c r="U6" i="65"/>
  <c r="U8" i="65"/>
  <c r="U10" i="65"/>
  <c r="U12" i="65"/>
  <c r="V4" i="65"/>
  <c r="V6" i="65"/>
  <c r="V8" i="65"/>
  <c r="V10" i="65"/>
  <c r="V12" i="65"/>
  <c r="W4" i="65"/>
  <c r="W6" i="65"/>
  <c r="W8" i="65"/>
  <c r="W10" i="65"/>
  <c r="W12" i="65"/>
  <c r="Q4" i="65"/>
  <c r="Q6" i="65"/>
  <c r="Q8" i="65"/>
  <c r="Q10" i="65"/>
  <c r="Q12" i="65"/>
  <c r="R4" i="65"/>
  <c r="R6" i="65"/>
  <c r="R8" i="65"/>
  <c r="R10" i="65"/>
  <c r="R12" i="65"/>
  <c r="S4" i="65"/>
  <c r="S6" i="65"/>
  <c r="S8" i="65"/>
  <c r="S10" i="65"/>
  <c r="S12" i="65"/>
  <c r="T12" i="65"/>
  <c r="T10" i="65"/>
  <c r="T8" i="65"/>
  <c r="T6" i="65"/>
  <c r="T4" i="65"/>
  <c r="U3" i="65"/>
  <c r="U5" i="65"/>
  <c r="U7" i="65"/>
  <c r="U9" i="65"/>
  <c r="U11" i="65"/>
  <c r="V3" i="65"/>
  <c r="V5" i="65"/>
  <c r="V7" i="65"/>
  <c r="V9" i="65"/>
  <c r="V11" i="65"/>
  <c r="W3" i="65"/>
  <c r="W5" i="65"/>
  <c r="W7" i="65"/>
  <c r="W9" i="65"/>
  <c r="W11" i="65"/>
  <c r="AH61" i="65" l="1"/>
  <c r="AH62" i="65" s="1"/>
  <c r="AH19" i="65" s="1"/>
  <c r="AL61" i="65"/>
  <c r="AL62" i="65" s="1"/>
  <c r="AL19" i="65" s="1"/>
  <c r="AE37" i="65"/>
  <c r="AE38" i="65" s="1"/>
  <c r="AM18" i="65" s="1"/>
  <c r="AB37" i="65"/>
  <c r="AB38" i="65" s="1"/>
  <c r="AJ18" i="65" s="1"/>
  <c r="AI61" i="65"/>
  <c r="AI62" i="65" s="1"/>
  <c r="AI19" i="65" s="1"/>
  <c r="AK61" i="65"/>
  <c r="AK62" i="65" s="1"/>
  <c r="AK19" i="65" s="1"/>
  <c r="AM61" i="65"/>
  <c r="AM62" i="65" s="1"/>
  <c r="AM19" i="65" s="1"/>
  <c r="AN61" i="65"/>
  <c r="AN62" i="65" s="1"/>
  <c r="AN19" i="65" s="1"/>
  <c r="AJ61" i="65"/>
  <c r="AJ62" i="65" s="1"/>
  <c r="AJ19" i="65" s="1"/>
  <c r="AC37" i="65"/>
  <c r="AC38" i="65" s="1"/>
  <c r="AK18" i="65" s="1"/>
  <c r="AF37" i="65"/>
  <c r="AF38" i="65" s="1"/>
  <c r="AN18" i="65" s="1"/>
  <c r="AD37" i="65"/>
  <c r="AD38" i="65" s="1"/>
  <c r="AL18" i="65" s="1"/>
  <c r="AA37" i="65"/>
  <c r="AA38" i="65" s="1"/>
  <c r="AI18" i="65" s="1"/>
  <c r="Z37" i="65"/>
  <c r="Z38" i="65" s="1"/>
  <c r="AH18" i="65" s="1"/>
  <c r="W14" i="65"/>
  <c r="W15" i="65" s="1"/>
  <c r="AN17" i="65" s="1"/>
  <c r="V14" i="65"/>
  <c r="V15" i="65" s="1"/>
  <c r="AM17" i="65" s="1"/>
  <c r="Q14" i="65"/>
  <c r="Q15" i="65" s="1"/>
  <c r="AH17" i="65" s="1"/>
  <c r="T14" i="65"/>
  <c r="T15" i="65" s="1"/>
  <c r="AK17" i="65" s="1"/>
  <c r="U14" i="65"/>
  <c r="U15" i="65" s="1"/>
  <c r="AL17" i="65" s="1"/>
  <c r="S14" i="65"/>
  <c r="S15" i="65" s="1"/>
  <c r="AJ17" i="65" s="1"/>
  <c r="R14" i="65"/>
  <c r="R15" i="65" s="1"/>
  <c r="AI17" i="65" s="1"/>
  <c r="J25" i="1"/>
  <c r="AK21" i="65" l="1"/>
  <c r="AN21" i="65"/>
  <c r="AI21" i="65"/>
  <c r="AJ21" i="65"/>
  <c r="AM21" i="65"/>
  <c r="AL21" i="65"/>
  <c r="AH21" i="65"/>
  <c r="N2" i="65"/>
  <c r="L2" i="65"/>
  <c r="L44" i="65" l="1"/>
  <c r="L47" i="65" s="1"/>
  <c r="L6" i="65"/>
  <c r="L48" i="65" s="1"/>
  <c r="N3" i="65"/>
  <c r="N45" i="65" s="1"/>
  <c r="L11" i="65"/>
  <c r="L53" i="65" s="1"/>
  <c r="L3" i="65"/>
  <c r="N6" i="65"/>
  <c r="N48" i="65" s="1"/>
  <c r="N11" i="65"/>
  <c r="N53" i="65" s="1"/>
  <c r="N5" i="65"/>
  <c r="N44" i="65"/>
  <c r="L5" i="65"/>
  <c r="L10" i="65"/>
  <c r="N10" i="65"/>
  <c r="L52" i="65" l="1"/>
  <c r="C19" i="1"/>
  <c r="C21" i="1" s="1"/>
  <c r="L45" i="65"/>
  <c r="N47" i="65"/>
  <c r="N52" i="65"/>
  <c r="L55" i="65"/>
  <c r="L2" i="33"/>
  <c r="L50" i="65"/>
  <c r="L13" i="65"/>
  <c r="H2" i="33"/>
  <c r="L8" i="65"/>
  <c r="W13" i="65"/>
  <c r="T13" i="65"/>
  <c r="U13" i="65"/>
  <c r="V13" i="65"/>
  <c r="R13" i="65"/>
  <c r="S13" i="65"/>
  <c r="R2" i="33" l="1"/>
  <c r="K2" i="33" s="1"/>
  <c r="J2" i="33"/>
  <c r="I2" i="33"/>
  <c r="I10" i="1"/>
  <c r="C10" i="1"/>
  <c r="D86" i="100" l="1"/>
  <c r="D66" i="100" l="1"/>
  <c r="D54" i="100" l="1"/>
  <c r="D37" i="100" l="1"/>
  <c r="D20" i="100"/>
  <c r="N3" i="1" l="1"/>
  <c r="M3" i="1"/>
  <c r="H24" i="1"/>
  <c r="F24" i="1"/>
  <c r="G2" i="61" l="1"/>
  <c r="G3" i="61" s="1"/>
  <c r="H3" i="61" l="1"/>
  <c r="G4" i="61"/>
  <c r="G5" i="61" s="1"/>
  <c r="H5" i="61" s="1"/>
  <c r="H2" i="61"/>
  <c r="G6" i="61" l="1"/>
  <c r="H6" i="61" s="1"/>
  <c r="H4" i="61"/>
  <c r="G7" i="61" l="1"/>
  <c r="G8" i="61" s="1"/>
  <c r="I6" i="61"/>
  <c r="H7" i="61" l="1"/>
  <c r="G9" i="61"/>
  <c r="H8" i="61"/>
  <c r="E10" i="61" l="1"/>
  <c r="G10" i="61" s="1"/>
  <c r="H9" i="61"/>
  <c r="E11" i="61" l="1"/>
  <c r="G11" i="61" s="1"/>
  <c r="H10" i="61"/>
  <c r="E12" i="61" l="1"/>
  <c r="G12" i="61" s="1"/>
  <c r="H11" i="61"/>
  <c r="I11" i="61" s="1"/>
  <c r="G2" i="33"/>
  <c r="F2" i="33"/>
  <c r="E13" i="61" l="1"/>
  <c r="G13" i="61" s="1"/>
  <c r="H12" i="61"/>
  <c r="F3" i="45"/>
  <c r="G3" i="45" s="1"/>
  <c r="C7" i="45"/>
  <c r="C8" i="45"/>
  <c r="E8" i="45"/>
  <c r="C9" i="45"/>
  <c r="C10" i="45"/>
  <c r="E10" i="45"/>
  <c r="C11" i="45"/>
  <c r="E11" i="45"/>
  <c r="C12" i="45"/>
  <c r="E12" i="45"/>
  <c r="C13" i="45"/>
  <c r="E13" i="45"/>
  <c r="C14" i="45"/>
  <c r="E14" i="45"/>
  <c r="C15" i="45"/>
  <c r="E15" i="45"/>
  <c r="C16" i="45"/>
  <c r="E16" i="45"/>
  <c r="C17" i="45"/>
  <c r="E17" i="45"/>
  <c r="C18" i="45"/>
  <c r="E18" i="45"/>
  <c r="C19" i="45"/>
  <c r="E19" i="45"/>
  <c r="C20" i="45"/>
  <c r="E14" i="61" l="1"/>
  <c r="G14" i="61" s="1"/>
  <c r="H13" i="61"/>
  <c r="G12" i="45"/>
  <c r="E7" i="45" s="1"/>
  <c r="G13" i="45" l="1"/>
  <c r="E9" i="45"/>
  <c r="E15" i="61"/>
  <c r="G15" i="61" s="1"/>
  <c r="H14" i="61"/>
  <c r="E16" i="61" l="1"/>
  <c r="G16" i="61" s="1"/>
  <c r="H15" i="61"/>
  <c r="E17" i="61" l="1"/>
  <c r="G17" i="61" s="1"/>
  <c r="H16" i="61"/>
  <c r="I16" i="61" s="1"/>
  <c r="E18" i="61" l="1"/>
  <c r="G18" i="61" s="1"/>
  <c r="H17" i="61"/>
  <c r="E19" i="61" l="1"/>
  <c r="G19" i="61" s="1"/>
  <c r="H18" i="61"/>
  <c r="E20" i="61" l="1"/>
  <c r="G20" i="61" s="1"/>
  <c r="H19" i="61"/>
  <c r="E21" i="61" l="1"/>
  <c r="G21" i="61" s="1"/>
  <c r="H20" i="61"/>
  <c r="H21" i="61" l="1"/>
  <c r="I21" i="61" l="1"/>
  <c r="B5" i="6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Kenji</author>
  </authors>
  <commentList>
    <comment ref="G5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3,5</t>
        </r>
      </text>
    </comment>
    <comment ref="H5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12</t>
        </r>
      </text>
    </comment>
    <comment ref="G6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6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11</t>
        </r>
      </text>
    </comment>
    <comment ref="G7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3,5</t>
        </r>
      </text>
    </comment>
    <comment ref="H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11</t>
        </r>
      </text>
    </comment>
    <comment ref="G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8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9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9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0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1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3,5</t>
        </r>
      </text>
    </comment>
    <comment ref="H11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2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3,5</t>
        </r>
      </text>
    </comment>
    <comment ref="H12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3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3,5</t>
        </r>
      </text>
    </comment>
    <comment ref="H13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4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9</t>
        </r>
      </text>
    </comment>
    <comment ref="G15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5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9</t>
        </r>
      </text>
    </comment>
    <comment ref="G16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6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11</t>
        </r>
      </text>
    </comment>
    <comment ref="G17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7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10</t>
        </r>
      </text>
    </comment>
    <comment ref="G18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8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8</t>
        </r>
      </text>
    </comment>
    <comment ref="G19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19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9</t>
        </r>
      </text>
    </comment>
    <comment ref="G20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20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9</t>
        </r>
      </text>
    </comment>
    <comment ref="G21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21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8</t>
        </r>
      </text>
    </comment>
    <comment ref="G22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H22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9</t>
        </r>
      </text>
    </comment>
    <comment ref="G23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1,5</t>
        </r>
      </text>
    </comment>
    <comment ref="H23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8</t>
        </r>
      </text>
    </comment>
    <comment ref="G24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G25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G26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G27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G28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  <comment ref="G29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Roberto Kenji:</t>
        </r>
        <r>
          <rPr>
            <sz val="9"/>
            <color indexed="81"/>
            <rFont val="Segoe UI"/>
            <family val="2"/>
          </rPr>
          <t xml:space="preserve">
2,5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0" background="1">
    <webPr url="http://www.nowgoal.com/analysis/&lt;img src=&quot;/images/t2.gif&quot;&gt;.html" htmlTables="1" htmlFormat="all"/>
  </connection>
  <connection id="2" xr16:uid="{00000000-0015-0000-FFFF-FFFF01000000}" name="Conexão1" type="4" refreshedVersion="0" background="1">
    <webPr url="http://www.nowgoal.com/analysis/1588535.html" htmlTables="1" htmlFormat="all"/>
  </connection>
  <connection id="3" xr16:uid="{00000000-0015-0000-FFFF-FFFF02000000}" name="Conexão10" type="4" refreshedVersion="0" background="1">
    <webPr url="http://www.nowgoal.com/analysis/1753142.html" htmlTables="1" htmlFormat="all"/>
  </connection>
  <connection id="4" xr16:uid="{00000000-0015-0000-FFFF-FFFF03000000}" name="Conexão2" type="4" refreshedVersion="0" background="1">
    <webPr url="Deportivo La Guaira" htmlTables="1" htmlFormat="all"/>
  </connection>
  <connection id="5" xr16:uid="{00000000-0015-0000-FFFF-FFFF04000000}" name="Conexão3" type="4" refreshedVersion="0" background="1">
    <webPr url="Alianza Petrolera" htmlTables="1" htmlFormat="all"/>
  </connection>
  <connection id="6" xr16:uid="{00000000-0015-0000-FFFF-FFFF05000000}" name="Conexão4" type="4" refreshedVersion="0" background="1">
    <webPr url="Maruyasu Industries" htmlTables="1" htmlFormat="all"/>
  </connection>
  <connection id="7" xr16:uid="{00000000-0015-0000-FFFF-FFFF06000000}" name="Conexão5" type="4" refreshedVersion="0" background="1">
    <webPr url="Maruyasu Industries" htmlTables="1" htmlFormat="all"/>
  </connection>
  <connection id="8" xr16:uid="{00000000-0015-0000-FFFF-FFFF07000000}" name="Conexão6" type="4" refreshedVersion="0" background="1">
    <webPr url="Maruyasu Industries" htmlTables="1" htmlFormat="all"/>
  </connection>
  <connection id="9" xr16:uid="{00000000-0015-0000-FFFF-FFFF08000000}" name="Conexão7" type="4" refreshedVersion="0" background="1">
    <webPr url="Maruyasu Industries" htmlTables="1" htmlFormat="all"/>
  </connection>
  <connection id="10" xr16:uid="{00000000-0015-0000-FFFF-FFFF09000000}" name="Conexão8" type="4" refreshedVersion="0" background="1">
    <webPr url="Maruyasu Industries" htmlTables="1" htmlFormat="all"/>
  </connection>
  <connection id="11" xr16:uid="{00000000-0015-0000-FFFF-FFFF0A000000}" name="Conexão9" type="4" refreshedVersion="0" background="1">
    <webPr url="http://www.nowgoal.com/analysis/1701261.html" htmlTables="1" htmlFormat="all"/>
  </connection>
</connections>
</file>

<file path=xl/sharedStrings.xml><?xml version="1.0" encoding="utf-8"?>
<sst xmlns="http://schemas.openxmlformats.org/spreadsheetml/2006/main" count="3120" uniqueCount="1439">
  <si>
    <t>TIME</t>
  </si>
  <si>
    <t>JOGOS</t>
  </si>
  <si>
    <t>VITORIA</t>
  </si>
  <si>
    <t>EMPATE</t>
  </si>
  <si>
    <t>DERROTA</t>
  </si>
  <si>
    <t>FAVOR</t>
  </si>
  <si>
    <t>CONTRA</t>
  </si>
  <si>
    <t>CASA</t>
  </si>
  <si>
    <t>FORA</t>
  </si>
  <si>
    <t>OVER 0,5 HT</t>
  </si>
  <si>
    <t>OVER 1,5 HT</t>
  </si>
  <si>
    <t>OVER 2,5 FT</t>
  </si>
  <si>
    <t>OVER 3,5 FT</t>
  </si>
  <si>
    <t>OVER 1,5 FT</t>
  </si>
  <si>
    <t>CANTOS</t>
  </si>
  <si>
    <t>BTTS</t>
  </si>
  <si>
    <t>V 1.0</t>
  </si>
  <si>
    <t>ODD</t>
  </si>
  <si>
    <t>CHANCE</t>
  </si>
  <si>
    <t>AMBAS NÃO MARCAM</t>
  </si>
  <si>
    <t>AMBAS MARCAM</t>
  </si>
  <si>
    <t>OVER 4,5 FT</t>
  </si>
  <si>
    <t>OVER 0,5 FT</t>
  </si>
  <si>
    <t>ACUMUDALA 14</t>
  </si>
  <si>
    <t>ACUMUDALA 13</t>
  </si>
  <si>
    <t>ACUMUDALA 12</t>
  </si>
  <si>
    <t>ACUMUDALA 11</t>
  </si>
  <si>
    <t>ACUMUDALA 10</t>
  </si>
  <si>
    <t>ACUMULADA 14</t>
  </si>
  <si>
    <t>ACUMUDALA 9</t>
  </si>
  <si>
    <t>ACUMULADA 13</t>
  </si>
  <si>
    <t>Lucro Liq.</t>
  </si>
  <si>
    <t>ACUMUDALA 8</t>
  </si>
  <si>
    <t>ACUMULADA 12</t>
  </si>
  <si>
    <t>Inv Total</t>
  </si>
  <si>
    <t>ACUMUDALA 7</t>
  </si>
  <si>
    <t>ACUMULADA 11</t>
  </si>
  <si>
    <t>Lucro</t>
  </si>
  <si>
    <t>ACUMULADA 6</t>
  </si>
  <si>
    <t>ACUMULADA 10</t>
  </si>
  <si>
    <t>ACUMULADA 5</t>
  </si>
  <si>
    <t>ACUMULADA 9</t>
  </si>
  <si>
    <t>QUADRUPLA</t>
  </si>
  <si>
    <t>ACUMULADA 8</t>
  </si>
  <si>
    <t>TRIPLA</t>
  </si>
  <si>
    <t>ACUMULADA 7</t>
  </si>
  <si>
    <t>DUPLA</t>
  </si>
  <si>
    <t>RETORNO</t>
  </si>
  <si>
    <t>TIPO DE ENTRADA</t>
  </si>
  <si>
    <t>SEQ.</t>
  </si>
  <si>
    <t>VITORIA FORA</t>
  </si>
  <si>
    <t>TABELA</t>
  </si>
  <si>
    <t>QUADRA</t>
  </si>
  <si>
    <t>VITORIA CASA</t>
  </si>
  <si>
    <t>PRÓXIMO GOL</t>
  </si>
  <si>
    <t>Inv Total II</t>
  </si>
  <si>
    <t>Inv Total I</t>
  </si>
  <si>
    <t>Entrada</t>
  </si>
  <si>
    <t>Possibilidades</t>
  </si>
  <si>
    <t>Opções</t>
  </si>
  <si>
    <t>Ponderador</t>
  </si>
  <si>
    <t>Tipo de Aposta</t>
  </si>
  <si>
    <t>Mercado</t>
  </si>
  <si>
    <t>Multiplicador</t>
  </si>
  <si>
    <t>Tipo da Aposta</t>
  </si>
  <si>
    <t>Caluladora de Apostas - Duplas, Triplas, Quadruplas e Acumuladas</t>
  </si>
  <si>
    <t>POSIÇÃO</t>
  </si>
  <si>
    <t>HT</t>
  </si>
  <si>
    <t>CAMPEONATO</t>
  </si>
  <si>
    <t>TEMPO A PERC</t>
  </si>
  <si>
    <t>CORNER/MIN</t>
  </si>
  <si>
    <t>Meta Diária</t>
  </si>
  <si>
    <t>Valor da Banca</t>
  </si>
  <si>
    <t>Valor da Stake</t>
  </si>
  <si>
    <t>Qtde Entradas</t>
  </si>
  <si>
    <t>Entradas</t>
  </si>
  <si>
    <t>Stake</t>
  </si>
  <si>
    <t>Odd</t>
  </si>
  <si>
    <t>Retorno</t>
  </si>
  <si>
    <t>ROI</t>
  </si>
  <si>
    <t>Metas</t>
  </si>
  <si>
    <t>TEMPO DE JOGO</t>
  </si>
  <si>
    <t>Jogos do Dia</t>
  </si>
  <si>
    <t>Hora</t>
  </si>
  <si>
    <t>Casa</t>
  </si>
  <si>
    <t>Placar</t>
  </si>
  <si>
    <t>Fora</t>
  </si>
  <si>
    <t>CALCULADORA
CANTOS ON LINE</t>
  </si>
  <si>
    <t>A ACONTECER</t>
  </si>
  <si>
    <t>AMBAS - FT</t>
  </si>
  <si>
    <t>16:00</t>
  </si>
  <si>
    <t>Perez Zeledon</t>
  </si>
  <si>
    <t>Deportivo Saprissa</t>
  </si>
  <si>
    <t>Piacenza</t>
  </si>
  <si>
    <t>Real Betis</t>
  </si>
  <si>
    <t>Athletic Bilbao</t>
  </si>
  <si>
    <t>Lyon</t>
  </si>
  <si>
    <t>Angers</t>
  </si>
  <si>
    <t>KAA Gent</t>
  </si>
  <si>
    <t>Anderlecht</t>
  </si>
  <si>
    <t>Oriente Petrolero</t>
  </si>
  <si>
    <t>ESCANTEIOS</t>
  </si>
  <si>
    <t>20:00</t>
  </si>
  <si>
    <t>21:00</t>
  </si>
  <si>
    <t>21:15</t>
  </si>
  <si>
    <t>13:59</t>
  </si>
  <si>
    <t>Amiens</t>
  </si>
  <si>
    <t>15:00</t>
  </si>
  <si>
    <t>KAS Eupen</t>
  </si>
  <si>
    <t>15:30</t>
  </si>
  <si>
    <t>Pisa</t>
  </si>
  <si>
    <t>Chelsea</t>
  </si>
  <si>
    <t>Sheffield Wednesday</t>
  </si>
  <si>
    <t>Jacobina EC</t>
  </si>
  <si>
    <t>Vitoria BA</t>
  </si>
  <si>
    <t>Toulouse</t>
  </si>
  <si>
    <t>Kortrijk</t>
  </si>
  <si>
    <t>Real Potosi</t>
  </si>
  <si>
    <t>Santos</t>
  </si>
  <si>
    <t>Sao Paulo</t>
  </si>
  <si>
    <t>Sport Club Recife PE</t>
  </si>
  <si>
    <t>Nautico (PE)</t>
  </si>
  <si>
    <t>Zamora Barinas</t>
  </si>
  <si>
    <t>Zulia FC</t>
  </si>
  <si>
    <t>Alianza Petrolera</t>
  </si>
  <si>
    <t>America de Cali</t>
  </si>
  <si>
    <t>Independiente Santa Fe</t>
  </si>
  <si>
    <t>Deportivo Pasto</t>
  </si>
  <si>
    <t>Deportivo Capiata</t>
  </si>
  <si>
    <t>Sol de America</t>
  </si>
  <si>
    <t>HORÁRIO</t>
  </si>
  <si>
    <t>PAÍS</t>
  </si>
  <si>
    <t>JOGO</t>
  </si>
  <si>
    <t>RESULTADO</t>
  </si>
  <si>
    <t>BÉLGICA</t>
  </si>
  <si>
    <t>MERCADO</t>
  </si>
  <si>
    <t>BRASIL</t>
  </si>
  <si>
    <t>FRANÇA</t>
  </si>
  <si>
    <t>ESPANHA</t>
  </si>
  <si>
    <t>ITÁLIA</t>
  </si>
  <si>
    <t>INGLATERRA</t>
  </si>
  <si>
    <t>CHELSEA HT</t>
  </si>
  <si>
    <t>BOLÍVIA</t>
  </si>
  <si>
    <t>RED</t>
  </si>
  <si>
    <t>GREEN</t>
  </si>
  <si>
    <t>COSTA RICA</t>
  </si>
  <si>
    <t>STRIKERS TIPS - 27/01/2019 - FUTEBOL</t>
  </si>
  <si>
    <t>COLOMBIA</t>
  </si>
  <si>
    <t>IND.STA FÉ</t>
  </si>
  <si>
    <t>PARAGUAY</t>
  </si>
  <si>
    <t>VENEZUELA</t>
  </si>
  <si>
    <t>STRIKERS TIPS - 28/01/2019 - FUTEBOL</t>
  </si>
  <si>
    <t>FC Goa</t>
  </si>
  <si>
    <t>Jamshedpur FC</t>
  </si>
  <si>
    <t>Al Wehda Mecca</t>
  </si>
  <si>
    <t>Pacos de Ferreira</t>
  </si>
  <si>
    <t>Academica Coimbra</t>
  </si>
  <si>
    <t>Kasimpasa</t>
  </si>
  <si>
    <t>Al Ahli Jeddah</t>
  </si>
  <si>
    <t>Moreirense</t>
  </si>
  <si>
    <t>Nacional da Madeira</t>
  </si>
  <si>
    <t>CD Tondela</t>
  </si>
  <si>
    <t>Aves</t>
  </si>
  <si>
    <t>Jong Ajax (Youth)</t>
  </si>
  <si>
    <t>Volendam</t>
  </si>
  <si>
    <t>FC Utrecht (Youth)</t>
  </si>
  <si>
    <t>RKC Waalwijk</t>
  </si>
  <si>
    <t>Dordrecht</t>
  </si>
  <si>
    <t>Linfield FC</t>
  </si>
  <si>
    <t>Glentoran FC</t>
  </si>
  <si>
    <t>Colon de Santa Fe</t>
  </si>
  <si>
    <t>Argentinos juniors</t>
  </si>
  <si>
    <t>Gremio (RS)</t>
  </si>
  <si>
    <t>Juventude</t>
  </si>
  <si>
    <t>Al-Hazm</t>
  </si>
  <si>
    <t>Al-Taawon</t>
  </si>
  <si>
    <t>Boavista FC</t>
  </si>
  <si>
    <t>Portimonense</t>
  </si>
  <si>
    <t>Benfica</t>
  </si>
  <si>
    <t>GD Chaves</t>
  </si>
  <si>
    <t>HOLANDA</t>
  </si>
  <si>
    <t>INDIA</t>
  </si>
  <si>
    <t>A. SAUDITA</t>
  </si>
  <si>
    <t>TURQUIA</t>
  </si>
  <si>
    <t>ARGENTINA</t>
  </si>
  <si>
    <t>COLON FT</t>
  </si>
  <si>
    <t>MOREIRENSE FT</t>
  </si>
  <si>
    <t>PORTUGAL</t>
  </si>
  <si>
    <t>IRLANDA NORTE</t>
  </si>
  <si>
    <t>Istanbul Buyuksehir</t>
  </si>
  <si>
    <t>Jong PSV Eindhoven</t>
  </si>
  <si>
    <t>Getafe</t>
  </si>
  <si>
    <t>Valencia</t>
  </si>
  <si>
    <t>HJK Helsinki</t>
  </si>
  <si>
    <t>HIFK</t>
  </si>
  <si>
    <t>VfL Bochum</t>
  </si>
  <si>
    <t>MSV Duisburg</t>
  </si>
  <si>
    <t>Arsenal</t>
  </si>
  <si>
    <t>Cardiff City</t>
  </si>
  <si>
    <t>Luton Town</t>
  </si>
  <si>
    <t>Portsmouth</t>
  </si>
  <si>
    <t>Forest Green Rovers</t>
  </si>
  <si>
    <t>Mansfield Town</t>
  </si>
  <si>
    <t>Milton Keynes Dons</t>
  </si>
  <si>
    <t>Oldham Athletic</t>
  </si>
  <si>
    <t>Queen of South</t>
  </si>
  <si>
    <t>Dundee</t>
  </si>
  <si>
    <t>Saint Gilloise</t>
  </si>
  <si>
    <t>Mechelen</t>
  </si>
  <si>
    <t>Manchester United</t>
  </si>
  <si>
    <t>Burnley</t>
  </si>
  <si>
    <t>Guingamp</t>
  </si>
  <si>
    <t>Monaco</t>
  </si>
  <si>
    <t>Tottenham Hotspur</t>
  </si>
  <si>
    <t>Southampton</t>
  </si>
  <si>
    <t>Bournemouth AFC</t>
  </si>
  <si>
    <t>Crystal Palace</t>
  </si>
  <si>
    <t>Watford</t>
  </si>
  <si>
    <t>STRIKERS TIPS - 29/01/2019 - FUTEBOL</t>
  </si>
  <si>
    <t>FINLANDIA</t>
  </si>
  <si>
    <t>ALEMANHA</t>
  </si>
  <si>
    <t>ESCÓCIA</t>
  </si>
  <si>
    <t>ARSENAL HT</t>
  </si>
  <si>
    <t>M UNITED HT</t>
  </si>
  <si>
    <t>STRIKERS TIPS - 30/01/2019 - FUTEBOL</t>
  </si>
  <si>
    <t>Arminia Bielefeld</t>
  </si>
  <si>
    <t>Heidenheimer</t>
  </si>
  <si>
    <t>Dynamo Dresden</t>
  </si>
  <si>
    <t>Holstein Kiel</t>
  </si>
  <si>
    <t>Juventus</t>
  </si>
  <si>
    <t>Atalanta</t>
  </si>
  <si>
    <t>Sevilla</t>
  </si>
  <si>
    <t>FC Barcelona</t>
  </si>
  <si>
    <t>Cucuta</t>
  </si>
  <si>
    <t>TOTTENHAM - FT</t>
  </si>
  <si>
    <t>IND STA FÉ - FT</t>
  </si>
  <si>
    <t>Empate</t>
  </si>
  <si>
    <t>STRIKERS TIPS - 10/02/2019 - FUTEBOL</t>
  </si>
  <si>
    <t>ALBACETE</t>
  </si>
  <si>
    <t>MALLORCA</t>
  </si>
  <si>
    <t>SUIÇA</t>
  </si>
  <si>
    <t>SION</t>
  </si>
  <si>
    <t>LUGANO</t>
  </si>
  <si>
    <t>BOA VISTA</t>
  </si>
  <si>
    <t>SANTA CLARA</t>
  </si>
  <si>
    <t>SC BRAGA</t>
  </si>
  <si>
    <t>CHAVES</t>
  </si>
  <si>
    <t>SC BRAGA WIN</t>
  </si>
  <si>
    <t>THUN</t>
  </si>
  <si>
    <t>YOUNG BOYS</t>
  </si>
  <si>
    <t>XAMAX</t>
  </si>
  <si>
    <t>LUZERN</t>
  </si>
  <si>
    <t>OLIVEIRENSE</t>
  </si>
  <si>
    <t>MAFRA</t>
  </si>
  <si>
    <t>BEERSCHOT</t>
  </si>
  <si>
    <t>SAINT GILLOISE</t>
  </si>
  <si>
    <t>CHIPRE</t>
  </si>
  <si>
    <t>OMONIA NICOSIA</t>
  </si>
  <si>
    <t>DOXA</t>
  </si>
  <si>
    <t>MÉXICO</t>
  </si>
  <si>
    <t>TOLUCA U20</t>
  </si>
  <si>
    <t>CRUZ AZUL U20</t>
  </si>
  <si>
    <t>SITRA</t>
  </si>
  <si>
    <t>AL ITTIFAQ</t>
  </si>
  <si>
    <t>SITRA WIN</t>
  </si>
  <si>
    <t>BAHREIN</t>
  </si>
  <si>
    <t>QUADRO GOLS</t>
  </si>
  <si>
    <t>Resultado</t>
  </si>
  <si>
    <t>FT</t>
  </si>
  <si>
    <t>Analisar jogo</t>
  </si>
  <si>
    <t>-</t>
  </si>
  <si>
    <t>Campeonato</t>
  </si>
  <si>
    <t>RACE CANTOS</t>
  </si>
  <si>
    <t>GOLS FT</t>
  </si>
  <si>
    <t>DADOS HISTÓRICOS - PARTIDAS CONFRONTOS</t>
  </si>
  <si>
    <t>TIMES</t>
  </si>
  <si>
    <t>SCORE</t>
  </si>
  <si>
    <t>GOLS HT</t>
  </si>
  <si>
    <t>TOTAL GOLS FT</t>
  </si>
  <si>
    <t>TOTAL GOLS HT</t>
  </si>
  <si>
    <t>Analises</t>
  </si>
  <si>
    <t>ENTRAR EM MAIS DE</t>
  </si>
  <si>
    <t>SEQUENCIA</t>
  </si>
  <si>
    <t>HORARIO</t>
  </si>
  <si>
    <t>OVER 2,5</t>
  </si>
  <si>
    <t>AMBAS</t>
  </si>
  <si>
    <t>OVER 0,5</t>
  </si>
  <si>
    <t>OVER 1,5</t>
  </si>
  <si>
    <t>OVER 3,5</t>
  </si>
  <si>
    <t>DADOS HISTÓRICOS - PARTIDAS TIME CASA</t>
  </si>
  <si>
    <t>DADOS HISTÓRICOS - PARTIDAS TIME FORA</t>
  </si>
  <si>
    <t>AMBAS - HT</t>
  </si>
  <si>
    <t>06:30</t>
  </si>
  <si>
    <t>07:00</t>
  </si>
  <si>
    <t>08:00</t>
  </si>
  <si>
    <t>09:00</t>
  </si>
  <si>
    <t>10:00</t>
  </si>
  <si>
    <t>11:00</t>
  </si>
  <si>
    <t>11:30</t>
  </si>
  <si>
    <t>12:00</t>
  </si>
  <si>
    <t>13:30</t>
  </si>
  <si>
    <t>14:30</t>
  </si>
  <si>
    <t>16:30</t>
  </si>
  <si>
    <t>17:00</t>
  </si>
  <si>
    <t>22:00</t>
  </si>
  <si>
    <t>23:00</t>
  </si>
  <si>
    <t>0 - 1</t>
  </si>
  <si>
    <t>3 - 2</t>
  </si>
  <si>
    <t>Adversário</t>
  </si>
  <si>
    <t>10:30</t>
  </si>
  <si>
    <t>IDN ISL</t>
  </si>
  <si>
    <t xml:space="preserve">CANTOS - JOGOS ENTRE OS TIMES </t>
  </si>
  <si>
    <t>CANTOS - JOGOS DO TIME VISITANTE</t>
  </si>
  <si>
    <t>CANTOS - JOGOS DO TIME CASA</t>
  </si>
  <si>
    <t>CANTOS - ENTRE</t>
  </si>
  <si>
    <t>CANTOS - CASA</t>
  </si>
  <si>
    <t>CANTOS - FORA</t>
  </si>
  <si>
    <t>17:30</t>
  </si>
  <si>
    <t>POSIÇÃO TIME 1</t>
  </si>
  <si>
    <t>POSIÇÃO TIME 2</t>
  </si>
  <si>
    <t>Estudiantes de Caseros</t>
  </si>
  <si>
    <t>22:30</t>
  </si>
  <si>
    <t>3 - 0</t>
  </si>
  <si>
    <t>08:30</t>
  </si>
  <si>
    <t>ARG D1</t>
  </si>
  <si>
    <t>Lineup</t>
  </si>
  <si>
    <t>Monterrey</t>
  </si>
  <si>
    <t>BUL D1</t>
  </si>
  <si>
    <t>12:30</t>
  </si>
  <si>
    <t>SPA D1</t>
  </si>
  <si>
    <t>ITA D1</t>
  </si>
  <si>
    <t>16:45</t>
  </si>
  <si>
    <t>BEL D1</t>
  </si>
  <si>
    <t>07:15</t>
  </si>
  <si>
    <t>ENG LCH</t>
  </si>
  <si>
    <t>Nottingham Forest</t>
  </si>
  <si>
    <t>Millwall</t>
  </si>
  <si>
    <t>ITA D2</t>
  </si>
  <si>
    <t>Torino</t>
  </si>
  <si>
    <t>Inter Milan</t>
  </si>
  <si>
    <t>FRA D1</t>
  </si>
  <si>
    <t>Stade Brestois</t>
  </si>
  <si>
    <t>SPA D2</t>
  </si>
  <si>
    <t>AD Alcorcon</t>
  </si>
  <si>
    <t>GER D3</t>
  </si>
  <si>
    <t>ER RegW</t>
  </si>
  <si>
    <t>RUS PR</t>
  </si>
  <si>
    <t>CZE D1</t>
  </si>
  <si>
    <t>TUR D2</t>
  </si>
  <si>
    <t>POL PR</t>
  </si>
  <si>
    <t>CRO D1</t>
  </si>
  <si>
    <t>GER D1</t>
  </si>
  <si>
    <t>RB Leipzig</t>
  </si>
  <si>
    <t>TUR D1</t>
  </si>
  <si>
    <t>Maidenhead United</t>
  </si>
  <si>
    <t>ER RegN</t>
  </si>
  <si>
    <t>SUI D1</t>
  </si>
  <si>
    <t>ROM D1</t>
  </si>
  <si>
    <t>CYP D1</t>
  </si>
  <si>
    <t>Atletico Tucuman</t>
  </si>
  <si>
    <t>ARG D2</t>
  </si>
  <si>
    <t>15:15</t>
  </si>
  <si>
    <t>HOL D1</t>
  </si>
  <si>
    <t>Nimes</t>
  </si>
  <si>
    <t>Red Star Waasland</t>
  </si>
  <si>
    <t>X D2(a)</t>
  </si>
  <si>
    <t>Celaya FC</t>
  </si>
  <si>
    <t>Atletico San Luis</t>
  </si>
  <si>
    <t>JPN D1</t>
  </si>
  <si>
    <t>02:00</t>
  </si>
  <si>
    <t>Vissel Kobe</t>
  </si>
  <si>
    <t>Consadole Sapporo</t>
  </si>
  <si>
    <t>Nagoya Grampus</t>
  </si>
  <si>
    <t>Yokohama Marinos</t>
  </si>
  <si>
    <t>Jubilo Iwata</t>
  </si>
  <si>
    <t>Cerezo Osaka</t>
  </si>
  <si>
    <t>AUS D1</t>
  </si>
  <si>
    <t>FC Tokyo</t>
  </si>
  <si>
    <t>US YthC</t>
  </si>
  <si>
    <t>ROM D2</t>
  </si>
  <si>
    <t>SCM Argesul Pitesti</t>
  </si>
  <si>
    <t>07:30</t>
  </si>
  <si>
    <t>Dynamo Moscow</t>
  </si>
  <si>
    <t>09:40</t>
  </si>
  <si>
    <t>GER D2</t>
  </si>
  <si>
    <t>UKR D1</t>
  </si>
  <si>
    <t>AZE D1</t>
  </si>
  <si>
    <t>R RegNE</t>
  </si>
  <si>
    <t>DEF FORA</t>
  </si>
  <si>
    <t>DEF CASA</t>
  </si>
  <si>
    <t>ATA FORA</t>
  </si>
  <si>
    <t>ATA CASA</t>
  </si>
  <si>
    <t>San Lorenzo</t>
  </si>
  <si>
    <t>Lanus</t>
  </si>
  <si>
    <t>Monarcas Morelia</t>
  </si>
  <si>
    <t>Kashima Antlers</t>
  </si>
  <si>
    <t>Shonan Bellmare</t>
  </si>
  <si>
    <t>Perth Glory</t>
  </si>
  <si>
    <t>06:00</t>
  </si>
  <si>
    <t>Ufa Youth</t>
  </si>
  <si>
    <t>Sportul Snagov</t>
  </si>
  <si>
    <t>IRN D1</t>
  </si>
  <si>
    <t>Niroye Zamini</t>
  </si>
  <si>
    <t>Hamburger SV</t>
  </si>
  <si>
    <t>Hertha BSC Berlin Youth</t>
  </si>
  <si>
    <t>Zwickau</t>
  </si>
  <si>
    <t>Koln (Youth)</t>
  </si>
  <si>
    <t>11:45</t>
  </si>
  <si>
    <t>Benevento</t>
  </si>
  <si>
    <t>Everton</t>
  </si>
  <si>
    <t>Extremadura</t>
  </si>
  <si>
    <t>Hibernian</t>
  </si>
  <si>
    <t>NK Varteks Varazdin</t>
  </si>
  <si>
    <t>Nea Salamis</t>
  </si>
  <si>
    <t>Leicester City</t>
  </si>
  <si>
    <t>Steaua Bucuresti</t>
  </si>
  <si>
    <t>Fortuna Sittard</t>
  </si>
  <si>
    <t>Cercle Brugge</t>
  </si>
  <si>
    <t>L D1(c)</t>
  </si>
  <si>
    <t>Alebrijes de Oaxaca</t>
  </si>
  <si>
    <t>Zacatepec</t>
  </si>
  <si>
    <t>STAKE</t>
  </si>
  <si>
    <t>INVESTIMENTO</t>
  </si>
  <si>
    <t>LUCRO BRUTO</t>
  </si>
  <si>
    <t>LUCRO LÍQUIDO</t>
  </si>
  <si>
    <t>INDICAÇÃO PARA CANTOS - OVER</t>
  </si>
  <si>
    <t>Vegalta Sendai</t>
  </si>
  <si>
    <t>MATCH ODD</t>
  </si>
  <si>
    <t>GOLS - UNDER / OVER / BTTS</t>
  </si>
  <si>
    <t>Eintracht Frankfurt</t>
  </si>
  <si>
    <t>Alemanha</t>
  </si>
  <si>
    <t>SIM</t>
  </si>
  <si>
    <t>2º</t>
  </si>
  <si>
    <t>3º</t>
  </si>
  <si>
    <t>Inglês</t>
  </si>
  <si>
    <t>6º</t>
  </si>
  <si>
    <t>11º</t>
  </si>
  <si>
    <t>8º</t>
  </si>
  <si>
    <t>4º</t>
  </si>
  <si>
    <t>10º</t>
  </si>
  <si>
    <t>16º</t>
  </si>
  <si>
    <t>15º</t>
  </si>
  <si>
    <t>ZFC U20</t>
  </si>
  <si>
    <t>Eastern Suburbs Auckland U20</t>
  </si>
  <si>
    <t>23:30</t>
  </si>
  <si>
    <t>Hiroshima Sanfrecce</t>
  </si>
  <si>
    <t>Matsumoto Yamaga FC</t>
  </si>
  <si>
    <t>Sagan Tosu</t>
  </si>
  <si>
    <t>Shimizu SPulse</t>
  </si>
  <si>
    <t>Oita Trinita</t>
  </si>
  <si>
    <t>AUS YLB</t>
  </si>
  <si>
    <t>Gamba Osaka</t>
  </si>
  <si>
    <t>05:30</t>
  </si>
  <si>
    <t>BLR SD</t>
  </si>
  <si>
    <t>Bengaluru B</t>
  </si>
  <si>
    <t>Student Union FC</t>
  </si>
  <si>
    <t>THLP2-A</t>
  </si>
  <si>
    <t>UKR U21</t>
  </si>
  <si>
    <t>Bangalore Eagles</t>
  </si>
  <si>
    <t>MEG</t>
  </si>
  <si>
    <t>PA LU19</t>
  </si>
  <si>
    <t>08:45</t>
  </si>
  <si>
    <t>Damash Gilan FC</t>
  </si>
  <si>
    <t>Sepidrood Rasht</t>
  </si>
  <si>
    <t>Mes krman</t>
  </si>
  <si>
    <t>Zenit St. Petersburg</t>
  </si>
  <si>
    <t>Umraniyespor</t>
  </si>
  <si>
    <t>Stadium Casablanca U19</t>
  </si>
  <si>
    <t>09:15</t>
  </si>
  <si>
    <t>09:30</t>
  </si>
  <si>
    <t>09:35</t>
  </si>
  <si>
    <t>09:45</t>
  </si>
  <si>
    <t>SPA FDH</t>
  </si>
  <si>
    <t>Palma Futsal</t>
  </si>
  <si>
    <t>GER WD1</t>
  </si>
  <si>
    <t>SC Freiburg (w)</t>
  </si>
  <si>
    <t>FC Lokomotive Leipzig</t>
  </si>
  <si>
    <t>Havelse</t>
  </si>
  <si>
    <t>AlTaawon</t>
  </si>
  <si>
    <t>UAE D1</t>
  </si>
  <si>
    <t>Al Bataeh</t>
  </si>
  <si>
    <t>Dubba AlHusun</t>
  </si>
  <si>
    <t>Chemnitzer</t>
  </si>
  <si>
    <t>ATL CUP</t>
  </si>
  <si>
    <t>Al Shahaniya</t>
  </si>
  <si>
    <t>AlWakra</t>
  </si>
  <si>
    <t>Bohemians 1905</t>
  </si>
  <si>
    <t>Slovan Liberec</t>
  </si>
  <si>
    <t>Eskisehirspor</t>
  </si>
  <si>
    <t>Trapani</t>
  </si>
  <si>
    <t>Korona Kielce</t>
  </si>
  <si>
    <t>Brighton Hove Albion</t>
  </si>
  <si>
    <t>Norwich City</t>
  </si>
  <si>
    <t>Motherwell</t>
  </si>
  <si>
    <t>AlSadd</t>
  </si>
  <si>
    <t>BEL D2</t>
  </si>
  <si>
    <t>KVSK Lommel</t>
  </si>
  <si>
    <t>Slavia Praha</t>
  </si>
  <si>
    <t>AEP Paphos</t>
  </si>
  <si>
    <t>Al Ahli(UAE)</t>
  </si>
  <si>
    <t>Al Wehda(UAE)</t>
  </si>
  <si>
    <t>Racing Santander</t>
  </si>
  <si>
    <t>Woking</t>
  </si>
  <si>
    <t>Manchester City</t>
  </si>
  <si>
    <t>Atletico Madrid</t>
  </si>
  <si>
    <t>FC Koln</t>
  </si>
  <si>
    <t>Jaen Paraiso Interior Futsal</t>
  </si>
  <si>
    <t>Cordoba Futsal</t>
  </si>
  <si>
    <t>Schaffhausen</t>
  </si>
  <si>
    <t>Paruro five foot</t>
  </si>
  <si>
    <t>PEC Zwolle</t>
  </si>
  <si>
    <t>AFC Ajax</t>
  </si>
  <si>
    <t>Willem II</t>
  </si>
  <si>
    <t>19:00</t>
  </si>
  <si>
    <t>San Jose</t>
  </si>
  <si>
    <t>Defensa Y Justicia</t>
  </si>
  <si>
    <t>21:30</t>
  </si>
  <si>
    <t>Cruzeiro (MG)</t>
  </si>
  <si>
    <t>Liga Dep. Universitaria Quito</t>
  </si>
  <si>
    <t>Universidad Catolica</t>
  </si>
  <si>
    <t>CDSyC Cruz Azul</t>
  </si>
  <si>
    <t>Atlas</t>
  </si>
  <si>
    <t>Herediano</t>
  </si>
  <si>
    <t>1 - 0</t>
  </si>
  <si>
    <t>BSWCP</t>
  </si>
  <si>
    <t>0 - 0</t>
  </si>
  <si>
    <t>6 - 0</t>
  </si>
  <si>
    <t>19º</t>
  </si>
  <si>
    <t>20º</t>
  </si>
  <si>
    <t>18º</t>
  </si>
  <si>
    <t>OVER  FT</t>
  </si>
  <si>
    <t>Escócia</t>
  </si>
  <si>
    <t>17º</t>
  </si>
  <si>
    <t>14º</t>
  </si>
  <si>
    <t>1º</t>
  </si>
  <si>
    <t>7º</t>
  </si>
  <si>
    <t>Zulte-Waregem</t>
  </si>
  <si>
    <t>5º</t>
  </si>
  <si>
    <t>Holanda</t>
  </si>
  <si>
    <t>Bélgica</t>
  </si>
  <si>
    <t>Itália</t>
  </si>
  <si>
    <t>TAXA DE ACERTO</t>
  </si>
  <si>
    <t>ODD VALOR</t>
  </si>
  <si>
    <t>ENTRADAS PRÉ LIVE - EM MERCADOS COM VALORES &gt; ou = VALOR DA ODD</t>
  </si>
  <si>
    <t>MERCADOS</t>
  </si>
  <si>
    <t>13º</t>
  </si>
  <si>
    <t>Brasil</t>
  </si>
  <si>
    <t>Equador</t>
  </si>
  <si>
    <t>México</t>
  </si>
  <si>
    <t>Costa Rica</t>
  </si>
  <si>
    <t>OVER HT</t>
  </si>
  <si>
    <t>DATA</t>
  </si>
  <si>
    <t>12º</t>
  </si>
  <si>
    <t>FSV Mainz 05</t>
  </si>
  <si>
    <t>TSG Hoffenheim</t>
  </si>
  <si>
    <t>Marseille</t>
  </si>
  <si>
    <t>Newells Old Boys</t>
  </si>
  <si>
    <t>9º</t>
  </si>
  <si>
    <t>Destroyers</t>
  </si>
  <si>
    <t>Argentina</t>
  </si>
  <si>
    <t>Bolivia</t>
  </si>
  <si>
    <t>JAM D1</t>
  </si>
  <si>
    <t>Waterhouse FC</t>
  </si>
  <si>
    <t>Mount Pleasant FA</t>
  </si>
  <si>
    <t>Aldosivi Mar del Plata</t>
  </si>
  <si>
    <t>RS U20</t>
  </si>
  <si>
    <t>19:15</t>
  </si>
  <si>
    <t>Atletico Mineiro (Youth)(N)</t>
  </si>
  <si>
    <t>2 - 2</t>
  </si>
  <si>
    <t>Atletico Nacional U20</t>
  </si>
  <si>
    <t>INT CF</t>
  </si>
  <si>
    <t>La Horquetta Rangers FC</t>
  </si>
  <si>
    <t>1 - 1</t>
  </si>
  <si>
    <t>Trinidad Tobago Police FC</t>
  </si>
  <si>
    <t>20:30</t>
  </si>
  <si>
    <t>Central Coast Mariners (Youth)</t>
  </si>
  <si>
    <t>Newcastle Jets FC (Youth)</t>
  </si>
  <si>
    <t>AUS YLA</t>
  </si>
  <si>
    <t>Adelaide United FC (Youth)</t>
  </si>
  <si>
    <t>Melbourne Heart (Youth)</t>
  </si>
  <si>
    <t>Cur L</t>
  </si>
  <si>
    <t>RKSV Centro Dominguito</t>
  </si>
  <si>
    <t>SV Victory Boys</t>
  </si>
  <si>
    <t>21:10</t>
  </si>
  <si>
    <t>Independiente</t>
  </si>
  <si>
    <t>Banfield</t>
  </si>
  <si>
    <t>Internacional (RS) Youth</t>
  </si>
  <si>
    <t>Midtjylland (Youth)</t>
  </si>
  <si>
    <t>RG D3FA</t>
  </si>
  <si>
    <t>21:45</t>
  </si>
  <si>
    <t>Desamparados</t>
  </si>
  <si>
    <t>Huracan Las Heras</t>
  </si>
  <si>
    <t>Deportivo Maipu</t>
  </si>
  <si>
    <t>Ferro Carril Oeste Gral Pico</t>
  </si>
  <si>
    <t>L D2off</t>
  </si>
  <si>
    <t>Boyaca Chico</t>
  </si>
  <si>
    <t>Cortulua</t>
  </si>
  <si>
    <t>Team Wellington U20</t>
  </si>
  <si>
    <t>SA NPSL</t>
  </si>
  <si>
    <t>Lone Star Republic FC</t>
  </si>
  <si>
    <t>North Texas</t>
  </si>
  <si>
    <t>BRA LNA</t>
  </si>
  <si>
    <t>SD Atletico Nacional</t>
  </si>
  <si>
    <t>Azuero FC</t>
  </si>
  <si>
    <t>SD Atletico Nacional (W)</t>
  </si>
  <si>
    <t>0 - 9</t>
  </si>
  <si>
    <t>CD Universitario (W)</t>
  </si>
  <si>
    <t>arag WL</t>
  </si>
  <si>
    <t>Sol de America (W)</t>
  </si>
  <si>
    <t>0 - 2</t>
  </si>
  <si>
    <t>Cerro Porteno (w)</t>
  </si>
  <si>
    <t>3 - 1</t>
  </si>
  <si>
    <t>Blooming</t>
  </si>
  <si>
    <t>0 - 3</t>
  </si>
  <si>
    <t>Jorge Wilstermann</t>
  </si>
  <si>
    <t>NIC D1</t>
  </si>
  <si>
    <t>Real Esteli</t>
  </si>
  <si>
    <t>Diriangen</t>
  </si>
  <si>
    <t>SLV LFW</t>
  </si>
  <si>
    <t>Santa Tecla (W)</t>
  </si>
  <si>
    <t>CD Fas Asdefuf (W)</t>
  </si>
  <si>
    <t>V D1off</t>
  </si>
  <si>
    <t>22:15</t>
  </si>
  <si>
    <t>CD Sonsonate(N)</t>
  </si>
  <si>
    <t>Aguila</t>
  </si>
  <si>
    <t>X D1off</t>
  </si>
  <si>
    <t>2 - 0</t>
  </si>
  <si>
    <t>Club America</t>
  </si>
  <si>
    <t>E W U19</t>
  </si>
  <si>
    <t>05:00</t>
  </si>
  <si>
    <t>CLB TPHCM (W) U19</t>
  </si>
  <si>
    <t>Ha Noi Women U19</t>
  </si>
  <si>
    <t>05:10</t>
  </si>
  <si>
    <t>1 - 3</t>
  </si>
  <si>
    <t>Melbourne City</t>
  </si>
  <si>
    <t>IND D1</t>
  </si>
  <si>
    <t>Neroca</t>
  </si>
  <si>
    <t>Aizawl FC</t>
  </si>
  <si>
    <t>Pusamania Borneo FC</t>
  </si>
  <si>
    <t>4 - 1</t>
  </si>
  <si>
    <t>Pstni</t>
  </si>
  <si>
    <t>ISR CL</t>
  </si>
  <si>
    <t>Beitar Nahariya(N)</t>
  </si>
  <si>
    <t>Bnei Mamba Golan</t>
  </si>
  <si>
    <t>Maccabi Umm Al Fahm(N)</t>
  </si>
  <si>
    <t>2 - 1</t>
  </si>
  <si>
    <t>Hapoel Sandala Gilboa</t>
  </si>
  <si>
    <t>ISR D3N</t>
  </si>
  <si>
    <t>Hapoel Kafr Kanna</t>
  </si>
  <si>
    <t>Hapoel Migdal HaEmek</t>
  </si>
  <si>
    <t>Hapoel Ironi Gedera</t>
  </si>
  <si>
    <t>FC Beitar Yavne</t>
  </si>
  <si>
    <t>06:45</t>
  </si>
  <si>
    <t>Maccabi Neve Shaanan Eldad</t>
  </si>
  <si>
    <t>Hapoel Bnei Musmus</t>
  </si>
  <si>
    <t>SC Daburiyya Osama</t>
  </si>
  <si>
    <t>Hapoel Herzliya</t>
  </si>
  <si>
    <t>pain D4</t>
  </si>
  <si>
    <t>Elche CF Ilicitano(N)</t>
  </si>
  <si>
    <t>CF Intercity</t>
  </si>
  <si>
    <t>ARM D2</t>
  </si>
  <si>
    <t>Ani Yerevan</t>
  </si>
  <si>
    <t>0 - 12</t>
  </si>
  <si>
    <t>Urartu II</t>
  </si>
  <si>
    <t>BKMA</t>
  </si>
  <si>
    <t>1 - 2</t>
  </si>
  <si>
    <t>Rail Locomotive</t>
  </si>
  <si>
    <t>FC West Armenia</t>
  </si>
  <si>
    <t>Se Wan Boy</t>
  </si>
  <si>
    <t>UKR U19</t>
  </si>
  <si>
    <t>Metalurh Zaporozhya U19</t>
  </si>
  <si>
    <t>FC Vorskla U19</t>
  </si>
  <si>
    <t>ALG WL</t>
  </si>
  <si>
    <t>FC Bejaia（W）</t>
  </si>
  <si>
    <t>ESF Amizour （W）</t>
  </si>
  <si>
    <t>Beitar Ramat Gan</t>
  </si>
  <si>
    <t>Hapoel Qalansawe</t>
  </si>
  <si>
    <t>Hapoel Mahane Yehuda</t>
  </si>
  <si>
    <t>Otzma FC Holon</t>
  </si>
  <si>
    <t>Maccabi Ironi Sderot</t>
  </si>
  <si>
    <t>MS Hapoel Yeroham</t>
  </si>
  <si>
    <t>SC Shicun Hamizrah</t>
  </si>
  <si>
    <t>Beitar Ironi Maale Adumim</t>
  </si>
  <si>
    <t>INT FRL</t>
  </si>
  <si>
    <t>Montenegro U16</t>
  </si>
  <si>
    <t>Azerbaijan U16</t>
  </si>
  <si>
    <t>07:10</t>
  </si>
  <si>
    <t>AR Guelma (W)</t>
  </si>
  <si>
    <t>FC Constantine（W）</t>
  </si>
  <si>
    <t>AS Oran Centre Women</t>
  </si>
  <si>
    <t>Afak Relizane（W）</t>
  </si>
  <si>
    <t>CF Akbou（W）</t>
  </si>
  <si>
    <t>AS Surete Nationale Women</t>
  </si>
  <si>
    <t>6 - 1</t>
  </si>
  <si>
    <t>JF Khroub（W）</t>
  </si>
  <si>
    <t>7 - 0</t>
  </si>
  <si>
    <t>AS Intissar Oran （W）</t>
  </si>
  <si>
    <t>FC LokomotivKazanka Moscow</t>
  </si>
  <si>
    <t>4 - 0</t>
  </si>
  <si>
    <t>Rodina Moskva</t>
  </si>
  <si>
    <t>D GoaPL</t>
  </si>
  <si>
    <t>Corps of Signals</t>
  </si>
  <si>
    <t>Salgaocar Sports Club</t>
  </si>
  <si>
    <t>FC Goa Development II</t>
  </si>
  <si>
    <t>Sporting Clube de Goa</t>
  </si>
  <si>
    <t>Khouneh Be Khouneh</t>
  </si>
  <si>
    <t>Malavan</t>
  </si>
  <si>
    <t>Qashqai Shiraz</t>
  </si>
  <si>
    <t>Shahrdary Arak</t>
  </si>
  <si>
    <t>Shahrdari Tabriz</t>
  </si>
  <si>
    <t>Oxin Alborz</t>
  </si>
  <si>
    <t>Fajr Sepasi</t>
  </si>
  <si>
    <t>Baderan Tehran FC</t>
  </si>
  <si>
    <t>Persepolis Pakdasht</t>
  </si>
  <si>
    <t>Arman Gohar Sirjan</t>
  </si>
  <si>
    <t>Mes Rafsanjan</t>
  </si>
  <si>
    <t>Navad Urmia</t>
  </si>
  <si>
    <t>ISR D3S</t>
  </si>
  <si>
    <t>Hakoah Amidar Ramat Gan FC(N)</t>
  </si>
  <si>
    <t>Hapoel Bikat Hayarden</t>
  </si>
  <si>
    <t>CF Trival Valderas</t>
  </si>
  <si>
    <t>2 - 3</t>
  </si>
  <si>
    <t>ED Moratalaz</t>
  </si>
  <si>
    <t>Villaverde Boetticher CF</t>
  </si>
  <si>
    <t>Alcorcon B</t>
  </si>
  <si>
    <t>AP FutL</t>
  </si>
  <si>
    <t>fugador sumida Futsal</t>
  </si>
  <si>
    <t>6 - 7</t>
  </si>
  <si>
    <t>Espo Lada Hokkaido Futsal</t>
  </si>
  <si>
    <t>voscuore sendai Futsal</t>
  </si>
  <si>
    <t>7 - 2</t>
  </si>
  <si>
    <t>Peace Does Machida Futsal</t>
  </si>
  <si>
    <t>Maccabi Lroni Kiryat Malakhi</t>
  </si>
  <si>
    <t>Maccabi Ironi Netivot</t>
  </si>
  <si>
    <t>SC Beer Sheva</t>
  </si>
  <si>
    <t>Beitar Ironi Kiryat Gat</t>
  </si>
  <si>
    <t>Ken D1</t>
  </si>
  <si>
    <t>Kariobangi Sharks</t>
  </si>
  <si>
    <t>Tusker</t>
  </si>
  <si>
    <t>Phong Phu Ha Nam U19 Women</t>
  </si>
  <si>
    <t>Than KSVN U19 Women</t>
  </si>
  <si>
    <t>07:40</t>
  </si>
  <si>
    <t>Hapoel Ironi Baka El Garbiya</t>
  </si>
  <si>
    <t>Rubi Shapira</t>
  </si>
  <si>
    <t>07:45</t>
  </si>
  <si>
    <t>Hapoel Iksal</t>
  </si>
  <si>
    <t>Hapoel Bnei Zalfa</t>
  </si>
  <si>
    <t>Maccabi Tzur Shalom(N)</t>
  </si>
  <si>
    <t>Hapoel Kaukab</t>
  </si>
  <si>
    <t>Hapoel Holon Yaniv</t>
  </si>
  <si>
    <t>Hapoel Marmorek lrony Rehovot</t>
  </si>
  <si>
    <t>Shimshon Kafr Qasim</t>
  </si>
  <si>
    <t>Maccabi Yavne</t>
  </si>
  <si>
    <t>Albacete</t>
  </si>
  <si>
    <t>SPA D32</t>
  </si>
  <si>
    <t>CD Izarra</t>
  </si>
  <si>
    <t>UD Logrones</t>
  </si>
  <si>
    <t>Esteghlal Khozestan</t>
  </si>
  <si>
    <t>Khooshe Talaee Sana Saveh</t>
  </si>
  <si>
    <t>Ironi Tiberias</t>
  </si>
  <si>
    <t>Hapoel Asi Gilboa</t>
  </si>
  <si>
    <t>Maccabi Tamra</t>
  </si>
  <si>
    <t>Maccabi Ironi Kiryat Ata</t>
  </si>
  <si>
    <t>Maccabi Herzliya</t>
  </si>
  <si>
    <t>Maccabi Kiryat Gat</t>
  </si>
  <si>
    <t>Maccabi Shaarayim(N)</t>
  </si>
  <si>
    <t>AS Ashdod</t>
  </si>
  <si>
    <t>Levante UD Beach Soccer</t>
  </si>
  <si>
    <t>7 - 4</t>
  </si>
  <si>
    <t>Marbella Beach</t>
  </si>
  <si>
    <t>Bala Azul Beach Soccer</t>
  </si>
  <si>
    <t>7 - 5</t>
  </si>
  <si>
    <t>Royals Dusseldorf Beach</t>
  </si>
  <si>
    <t>FC Terek Groznyi Youth</t>
  </si>
  <si>
    <t>Kolos Kovalivka U21(N)</t>
  </si>
  <si>
    <t>Dnipro1 U21</t>
  </si>
  <si>
    <t>PFC Oleksandria U21</t>
  </si>
  <si>
    <t>FC Vorskla U21</t>
  </si>
  <si>
    <t>EDMF Churra(N)</t>
  </si>
  <si>
    <t>Huercal</t>
  </si>
  <si>
    <t>CD Berceo</t>
  </si>
  <si>
    <t>Vianes</t>
  </si>
  <si>
    <t>DAV Santa Ana</t>
  </si>
  <si>
    <t>AD Union Adarve</t>
  </si>
  <si>
    <t>Karpaty U19</t>
  </si>
  <si>
    <t>Shakhtar Donetsk U19</t>
  </si>
  <si>
    <t>Bandari</t>
  </si>
  <si>
    <t>Wazito FC</t>
  </si>
  <si>
    <t>Beitar Kfar Saba Shlomi</t>
  </si>
  <si>
    <t>Shimshon Tel Aviv</t>
  </si>
  <si>
    <t>Ironi Modiin</t>
  </si>
  <si>
    <t>MS Hapoel Lod</t>
  </si>
  <si>
    <t>SPA WD2</t>
  </si>
  <si>
    <t>collerense (w)</t>
  </si>
  <si>
    <t>Fundacion Albacete (W)</t>
  </si>
  <si>
    <t>Leioa U19</t>
  </si>
  <si>
    <t>Antiguoko KE U19</t>
  </si>
  <si>
    <t>Malaga U19</t>
  </si>
  <si>
    <t>Dos Hermanas U19</t>
  </si>
  <si>
    <t>Pena Barcelonista U19</t>
  </si>
  <si>
    <t>Vazquez Cultural U19</t>
  </si>
  <si>
    <t>Recreativo Huelva U19</t>
  </si>
  <si>
    <t>Real Betis U19</t>
  </si>
  <si>
    <t>Valencia U19</t>
  </si>
  <si>
    <t>Villarreal U19</t>
  </si>
  <si>
    <t>08:15</t>
  </si>
  <si>
    <t>Ironi Beit Dagan</t>
  </si>
  <si>
    <t>Hapoel Kfar Qasm Shuaa</t>
  </si>
  <si>
    <t>AIFF XI</t>
  </si>
  <si>
    <t>Gokulam Kerala FC</t>
  </si>
  <si>
    <t>Hapoel Kfar Shalem</t>
  </si>
  <si>
    <t>Hapoel Azor</t>
  </si>
  <si>
    <t>Barito Putera</t>
  </si>
  <si>
    <t>Semen Padang</t>
  </si>
  <si>
    <t>Kalteng Putra FC</t>
  </si>
  <si>
    <t>1 - 4</t>
  </si>
  <si>
    <t>Madura United</t>
  </si>
  <si>
    <t>Marina Sport U19</t>
  </si>
  <si>
    <t>CF Bansander U19</t>
  </si>
  <si>
    <t>Valladolid U19</t>
  </si>
  <si>
    <t>Getafe U19</t>
  </si>
  <si>
    <t>CFC</t>
  </si>
  <si>
    <t>08:35</t>
  </si>
  <si>
    <t>Shanghai Shenhua</t>
  </si>
  <si>
    <t>Shandong Luneng</t>
  </si>
  <si>
    <t>CD Mirandes B</t>
  </si>
  <si>
    <t>Tuoer De Cilliers</t>
  </si>
  <si>
    <t>KSA D2A</t>
  </si>
  <si>
    <t>08:55</t>
  </si>
  <si>
    <t>Jubail</t>
  </si>
  <si>
    <t>AlSuqoor(KSA)</t>
  </si>
  <si>
    <t>Panaderia Pulido</t>
  </si>
  <si>
    <t>CD Atletico Paso</t>
  </si>
  <si>
    <t>G PU23A</t>
  </si>
  <si>
    <t>Tottenham Hotspur U23</t>
  </si>
  <si>
    <t>Liverpool U23</t>
  </si>
  <si>
    <t>HKEC</t>
  </si>
  <si>
    <t>Southern District(N)</t>
  </si>
  <si>
    <t>Yuen Long FC</t>
  </si>
  <si>
    <t>San Felix CF U19</t>
  </si>
  <si>
    <t>AD Nervion U19</t>
  </si>
  <si>
    <t>Real Sociedad U19</t>
  </si>
  <si>
    <t>9 - 0</t>
  </si>
  <si>
    <t>Numancia U19</t>
  </si>
  <si>
    <t>Sevilla U19</t>
  </si>
  <si>
    <t>Granada U19</t>
  </si>
  <si>
    <t>RG RESL</t>
  </si>
  <si>
    <t>Argentinos Jrs Reserves</t>
  </si>
  <si>
    <t>Estudiantes LP Reserves</t>
  </si>
  <si>
    <t>CA Independiente Reserves</t>
  </si>
  <si>
    <t>Banfield Reserves</t>
  </si>
  <si>
    <t>CA Talleres de Cordoba Reserves</t>
  </si>
  <si>
    <t>Union Santa Fe Reserves</t>
  </si>
  <si>
    <t>Colon Reserves</t>
  </si>
  <si>
    <t>5 - 0</t>
  </si>
  <si>
    <t>CA Aldosivi Reserves</t>
  </si>
  <si>
    <t>Defensa y Justicia Reserves</t>
  </si>
  <si>
    <t>Godoy Cruz Reserves</t>
  </si>
  <si>
    <t>Gimnasia LP Reserves</t>
  </si>
  <si>
    <t>Central Cordoba SdE Reserves</t>
  </si>
  <si>
    <t>Huracan Reserves</t>
  </si>
  <si>
    <t>Arsenal de Sarandi Reserves</t>
  </si>
  <si>
    <t>Lanus Reserves</t>
  </si>
  <si>
    <t>Racing Club Reserves</t>
  </si>
  <si>
    <t>Lujan Reserves</t>
  </si>
  <si>
    <t>San Martin Burzaco Reserves</t>
  </si>
  <si>
    <t>CA Patronato Reserves</t>
  </si>
  <si>
    <t>Velez Sarsfield Reserves</t>
  </si>
  <si>
    <t>River Plate R</t>
  </si>
  <si>
    <t>San Lorenzo Reserves</t>
  </si>
  <si>
    <t>a U19 L</t>
  </si>
  <si>
    <t>NK Orijent U19(N)</t>
  </si>
  <si>
    <t>Dinamo ZagrebU19</t>
  </si>
  <si>
    <t>Rosario Central Reserves</t>
  </si>
  <si>
    <t>Boca Juniors Reserve</t>
  </si>
  <si>
    <t>IY Cup</t>
  </si>
  <si>
    <t>SC Beer Sheva U19</t>
  </si>
  <si>
    <t>Maccabi Ironi Kiryat Ata U19</t>
  </si>
  <si>
    <t>09:10</t>
  </si>
  <si>
    <t>KPV/Akatemia</t>
  </si>
  <si>
    <t>Jaro</t>
  </si>
  <si>
    <t>KSA D2B</t>
  </si>
  <si>
    <t>Al Anwar SA</t>
  </si>
  <si>
    <t>AlDraih</t>
  </si>
  <si>
    <t>Atletico Tucuman Reserve</t>
  </si>
  <si>
    <t>Newell's Reserves</t>
  </si>
  <si>
    <t>SK CUP</t>
  </si>
  <si>
    <t>Al Raed</t>
  </si>
  <si>
    <t>Al mojzel</t>
  </si>
  <si>
    <t>AlAkhdoud</t>
  </si>
  <si>
    <t>AlSadd FC(SA)</t>
  </si>
  <si>
    <t>St. Harry's Beach foot</t>
  </si>
  <si>
    <t>4 - 5</t>
  </si>
  <si>
    <t>BSC Lions Riviera Beach</t>
  </si>
  <si>
    <t>Versandkostenfrei Beach</t>
  </si>
  <si>
    <t>GR Olival Basto Beach</t>
  </si>
  <si>
    <t>EGY D2</t>
  </si>
  <si>
    <t>El Olympi</t>
  </si>
  <si>
    <t>Biyala SC</t>
  </si>
  <si>
    <t>Ahi Acre</t>
  </si>
  <si>
    <t>Hapoel Bueine</t>
  </si>
  <si>
    <t>Tzeirei Sakhnin(N)</t>
  </si>
  <si>
    <t>FC Achva Kfar Manda</t>
  </si>
  <si>
    <t>Seccio Esportiva AEM (w)</t>
  </si>
  <si>
    <t>Atletico Madrid Women B Women</t>
  </si>
  <si>
    <t>URU RL</t>
  </si>
  <si>
    <t>Boston River Reserve</t>
  </si>
  <si>
    <t>2 - 5</t>
  </si>
  <si>
    <t>Wanderers FC Reserve</t>
  </si>
  <si>
    <t>AlAmeade</t>
  </si>
  <si>
    <t>Al Arabi(UAE)</t>
  </si>
  <si>
    <t>Masafi</t>
  </si>
  <si>
    <t>Wajj</t>
  </si>
  <si>
    <t>AlWashm</t>
  </si>
  <si>
    <t>Hapoel Ihud Bnei Gat</t>
  </si>
  <si>
    <t>Hapoel Ramot Menashe</t>
  </si>
  <si>
    <t>Al Entesar</t>
  </si>
  <si>
    <t>AlJndal</t>
  </si>
  <si>
    <t>EGYCup</t>
  </si>
  <si>
    <t>09:55</t>
  </si>
  <si>
    <t>Smouha SC</t>
  </si>
  <si>
    <t>Shabab Al Obour</t>
  </si>
  <si>
    <t>ISR D2</t>
  </si>
  <si>
    <t>Maccabi Ahi Nazareth</t>
  </si>
  <si>
    <t>Hapoel Petah Tikva</t>
  </si>
  <si>
    <t>Hapoel Bnei Lod</t>
  </si>
  <si>
    <t>Beitar Tel Aviv Ramla</t>
  </si>
  <si>
    <t>Hapoel Umm Al Fahm</t>
  </si>
  <si>
    <t>Hapoel Natzrat Illit</t>
  </si>
  <si>
    <t>Hapoel Katamon Jerusalem</t>
  </si>
  <si>
    <t>Hapoel Akko</t>
  </si>
  <si>
    <t>Maccabi Petah Tikva FC</t>
  </si>
  <si>
    <t>4 - 2</t>
  </si>
  <si>
    <t>Kafr Qasim</t>
  </si>
  <si>
    <t>PALL</t>
  </si>
  <si>
    <t>Ahli Al Khalil</t>
  </si>
  <si>
    <t>Al Quwwat Al Falistinia</t>
  </si>
  <si>
    <t>Kuw YL</t>
  </si>
  <si>
    <t>Al Salmiyah SC U20</t>
  </si>
  <si>
    <t>Burgan SC U20</t>
  </si>
  <si>
    <t>Cittadella U20</t>
  </si>
  <si>
    <t>US Cremonese U20</t>
  </si>
  <si>
    <t>CF Intercity Beach</t>
  </si>
  <si>
    <t>CF Chelas Beach</t>
  </si>
  <si>
    <t>Los Alcazares Beach</t>
  </si>
  <si>
    <t>4 - 16</t>
  </si>
  <si>
    <t>Rostocker Robben Beach Soccer</t>
  </si>
  <si>
    <t>SAFL</t>
  </si>
  <si>
    <t>Ajax Cape Town</t>
  </si>
  <si>
    <t>JDR Stars</t>
  </si>
  <si>
    <t>GRE D2</t>
  </si>
  <si>
    <t>Levadiakos</t>
  </si>
  <si>
    <t>Ergotelis</t>
  </si>
  <si>
    <t>UAE</t>
  </si>
  <si>
    <t>Al Ain</t>
  </si>
  <si>
    <t>AlSharjah</t>
  </si>
  <si>
    <t>Ahli AlFujirah</t>
  </si>
  <si>
    <t>Al Nasr Dubai</t>
  </si>
  <si>
    <t>11:25</t>
  </si>
  <si>
    <t>AlNojoom</t>
  </si>
  <si>
    <t>AlEttifaq</t>
  </si>
  <si>
    <t>AlTai</t>
  </si>
  <si>
    <t>Torredembarra Beach</t>
  </si>
  <si>
    <t>6 - 4</t>
  </si>
  <si>
    <t>Grande Motte Pyramide Beach</t>
  </si>
  <si>
    <t>Torrejon Beach</t>
  </si>
  <si>
    <t>5 - 5</t>
  </si>
  <si>
    <t>GO Rhein Main Beach</t>
  </si>
  <si>
    <t>Leganes B</t>
  </si>
  <si>
    <t>RCD Carabanchel</t>
  </si>
  <si>
    <t>UC Ceares</t>
  </si>
  <si>
    <t>SD Lenense</t>
  </si>
  <si>
    <t>11:55</t>
  </si>
  <si>
    <t>Ursus Warszawa</t>
  </si>
  <si>
    <t>Polonia Warszawa</t>
  </si>
  <si>
    <t>Fuenlabrada</t>
  </si>
  <si>
    <t>Alaves B</t>
  </si>
  <si>
    <t>Arenas Club de Getxo</t>
  </si>
  <si>
    <t>Unionistas de Salamanca</t>
  </si>
  <si>
    <t>Real Valladol B</t>
  </si>
  <si>
    <t>Tsarsko Selo</t>
  </si>
  <si>
    <t>Etar</t>
  </si>
  <si>
    <t>Qarabag</t>
  </si>
  <si>
    <t>Keshla FK</t>
  </si>
  <si>
    <t>Zamora Beach U20</t>
  </si>
  <si>
    <t>Semillero Samario Beach U20</t>
  </si>
  <si>
    <t>FC Tambov Youth</t>
  </si>
  <si>
    <t>FK Orenburg Youth</t>
  </si>
  <si>
    <t>Atletico Madrileno U19</t>
  </si>
  <si>
    <t>Torre Levante U19</t>
  </si>
  <si>
    <t>Badazous U19</t>
  </si>
  <si>
    <t>Leganes U19</t>
  </si>
  <si>
    <t>CD Ebro U19</t>
  </si>
  <si>
    <t>Conxo Santiago U19</t>
  </si>
  <si>
    <t>Lugo U19</t>
  </si>
  <si>
    <t>BEN L1</t>
  </si>
  <si>
    <t>ASVO</t>
  </si>
  <si>
    <t>Buffles du Borgou</t>
  </si>
  <si>
    <t>12:10</t>
  </si>
  <si>
    <t>AlAhli Doha(N)</t>
  </si>
  <si>
    <t>Umm Salal(N)</t>
  </si>
  <si>
    <t>Al Rayyan(N)</t>
  </si>
  <si>
    <t>0 - 6</t>
  </si>
  <si>
    <t>12:25</t>
  </si>
  <si>
    <t>Ebusua Dwarfs</t>
  </si>
  <si>
    <t>Asante Kotoko FC</t>
  </si>
  <si>
    <t>Enppi</t>
  </si>
  <si>
    <t>El Terasanah</t>
  </si>
  <si>
    <t>CD Guadalajara</t>
  </si>
  <si>
    <t>Almansa</t>
  </si>
  <si>
    <t>12:45</t>
  </si>
  <si>
    <t>3 - 3</t>
  </si>
  <si>
    <t>SPA D31</t>
  </si>
  <si>
    <t>12:59</t>
  </si>
  <si>
    <t>Marino luanco</t>
  </si>
  <si>
    <t>Sporting de Gijon B</t>
  </si>
  <si>
    <t>Haro Deportivo</t>
  </si>
  <si>
    <t>Osasuna B</t>
  </si>
  <si>
    <t>CAF CL</t>
  </si>
  <si>
    <t>AS Vita Club</t>
  </si>
  <si>
    <t>Raja Casablanca Atlhletic</t>
  </si>
  <si>
    <t>CYP D2</t>
  </si>
  <si>
    <t>Anagennisi FC Deryneia</t>
  </si>
  <si>
    <t>Xylotympou</t>
  </si>
  <si>
    <t>IWD1</t>
  </si>
  <si>
    <t>Sassuolo (w)</t>
  </si>
  <si>
    <t>Florentia（w）</t>
  </si>
  <si>
    <t>Mal PD</t>
  </si>
  <si>
    <t>AS Police</t>
  </si>
  <si>
    <t>CS Duguwolofila</t>
  </si>
  <si>
    <t>GFA D2</t>
  </si>
  <si>
    <t>Gunjur United</t>
  </si>
  <si>
    <t>Team Rhino FC</t>
  </si>
  <si>
    <t>Arsenal Tula</t>
  </si>
  <si>
    <t>Lokomotiv Moscow</t>
  </si>
  <si>
    <t>Leioa</t>
  </si>
  <si>
    <t>Athletic Bilbao B</t>
  </si>
  <si>
    <t>Cultural Leonesa</t>
  </si>
  <si>
    <t>CF Salmantino</t>
  </si>
  <si>
    <t>Banik Ostrava</t>
  </si>
  <si>
    <t>0 - 4</t>
  </si>
  <si>
    <t>AlJazira(UAE)</t>
  </si>
  <si>
    <t>5 - 1</t>
  </si>
  <si>
    <t>AlWasl</t>
  </si>
  <si>
    <t>13:45</t>
  </si>
  <si>
    <t>AlNasr(KSA)</t>
  </si>
  <si>
    <t>Al Bukayriyah</t>
  </si>
  <si>
    <t>14:00</t>
  </si>
  <si>
    <t>Arka Gdynia</t>
  </si>
  <si>
    <t>FC Shakhtar Donetsk</t>
  </si>
  <si>
    <t>Olimpic Donetsk</t>
  </si>
  <si>
    <t>Dinamo Zagreb</t>
  </si>
  <si>
    <t>MAL D2</t>
  </si>
  <si>
    <t>St. George's</t>
  </si>
  <si>
    <t>Swieqi United</t>
  </si>
  <si>
    <t>14:15</t>
  </si>
  <si>
    <t>Gaborone United</t>
  </si>
  <si>
    <t>Galaxy</t>
  </si>
  <si>
    <t>Karlsruher SC</t>
  </si>
  <si>
    <t>Real Oviedo</t>
  </si>
  <si>
    <t>Fenerbahce</t>
  </si>
  <si>
    <t>5 - 2</t>
  </si>
  <si>
    <t>Genclerbirligi</t>
  </si>
  <si>
    <t>Catgas Energia Futsal</t>
  </si>
  <si>
    <t>Lille</t>
  </si>
  <si>
    <t>BSV Rehden</t>
  </si>
  <si>
    <t>EN SASL</t>
  </si>
  <si>
    <t>Hobro</t>
  </si>
  <si>
    <t>AC Horsens</t>
  </si>
  <si>
    <t>SAPL D1</t>
  </si>
  <si>
    <t>Supersport United</t>
  </si>
  <si>
    <t>Highlands Park</t>
  </si>
  <si>
    <t>MAL D1</t>
  </si>
  <si>
    <t>Balzan FC</t>
  </si>
  <si>
    <t>Hamrun Spartans</t>
  </si>
  <si>
    <t>Santa Cruz FC</t>
  </si>
  <si>
    <t>Xota Navarra Futsal</t>
  </si>
  <si>
    <t>GER OBW</t>
  </si>
  <si>
    <t>Bramfelder SV</t>
  </si>
  <si>
    <t>SV Rugenbergen</t>
  </si>
  <si>
    <t>Eilenburg</t>
  </si>
  <si>
    <t>VFL 05 HohensteinErnstthal</t>
  </si>
  <si>
    <t>Bayern Munchen (w)</t>
  </si>
  <si>
    <t>Fortuna Koln</t>
  </si>
  <si>
    <t>Gaz Metan Medias</t>
  </si>
  <si>
    <t>Hammarby U20(N)</t>
  </si>
  <si>
    <t>4 - 3</t>
  </si>
  <si>
    <t>Corinthians Paulista (Youth)</t>
  </si>
  <si>
    <t>Hamm United</t>
  </si>
  <si>
    <t>FC Teutonia 05</t>
  </si>
  <si>
    <t>TuS Osdorf</t>
  </si>
  <si>
    <t>FC Union Tornesch</t>
  </si>
  <si>
    <t>SC Victoria Hamburg</t>
  </si>
  <si>
    <t>10 - 1</t>
  </si>
  <si>
    <t>SC Concordia Hamburg</t>
  </si>
  <si>
    <t>FRA D3</t>
  </si>
  <si>
    <t>Toulon</t>
  </si>
  <si>
    <t>Boulogne</t>
  </si>
  <si>
    <t>FRA D4D</t>
  </si>
  <si>
    <t>Marignane Gignac</t>
  </si>
  <si>
    <t>Lyonnais II</t>
  </si>
  <si>
    <t>HOL D2</t>
  </si>
  <si>
    <t>Almere City FC</t>
  </si>
  <si>
    <t>FC Oss</t>
  </si>
  <si>
    <t>Den Bosch</t>
  </si>
  <si>
    <t>De Graafschap</t>
  </si>
  <si>
    <t>2 - 4</t>
  </si>
  <si>
    <t>SC Cambuur</t>
  </si>
  <si>
    <t>FC Eindhoven</t>
  </si>
  <si>
    <t>Excelsior SBV</t>
  </si>
  <si>
    <t>NEC Nijmegen</t>
  </si>
  <si>
    <t>Go Ahead Eagles</t>
  </si>
  <si>
    <t>Jong PSV Eindhoven (Youth)</t>
  </si>
  <si>
    <t>MVV Maastricht</t>
  </si>
  <si>
    <t>SC Telstar</t>
  </si>
  <si>
    <t>NAC Breda</t>
  </si>
  <si>
    <t>Aarau</t>
  </si>
  <si>
    <t>EL Ahly</t>
  </si>
  <si>
    <t>AlHilal Omdurman</t>
  </si>
  <si>
    <t>Esperance Sportive de Tunis</t>
  </si>
  <si>
    <t>JS kabylie</t>
  </si>
  <si>
    <t>CD El Alamo</t>
  </si>
  <si>
    <t>CD San Fernando de Henares</t>
  </si>
  <si>
    <t>Arsenal U23</t>
  </si>
  <si>
    <t>Blackburn Rovers U23</t>
  </si>
  <si>
    <t>Southampton U23</t>
  </si>
  <si>
    <t>Manchester City U23</t>
  </si>
  <si>
    <t>G PU23B</t>
  </si>
  <si>
    <t>Fulham U23</t>
  </si>
  <si>
    <t>West Ham U23</t>
  </si>
  <si>
    <t>U23 D1</t>
  </si>
  <si>
    <t>Nottingham Forest U23</t>
  </si>
  <si>
    <t>Birmingham City U23</t>
  </si>
  <si>
    <t>Liverpool Montevideo Reserve</t>
  </si>
  <si>
    <t>Nacional de Montevideo Reserves</t>
  </si>
  <si>
    <t>FC Suderelbe</t>
  </si>
  <si>
    <t>Meiendorfer SV</t>
  </si>
  <si>
    <t>Hamburger SV III</t>
  </si>
  <si>
    <t>SV Curslack Neuengamme</t>
  </si>
  <si>
    <t>16:15</t>
  </si>
  <si>
    <t>Mqabba FC</t>
  </si>
  <si>
    <t>St. Andrews</t>
  </si>
  <si>
    <t>Hertha Berlin</t>
  </si>
  <si>
    <t>Royal Antwerp</t>
  </si>
  <si>
    <t>Oud Heverlee</t>
  </si>
  <si>
    <t>Gornik Zabrze</t>
  </si>
  <si>
    <t>Wisla Krakow</t>
  </si>
  <si>
    <t>5 - 3</t>
  </si>
  <si>
    <t>BPL (W)</t>
  </si>
  <si>
    <t>Racing Genk (w)</t>
  </si>
  <si>
    <t>Oud Heverlee Leuven (w)</t>
  </si>
  <si>
    <t>KAA Gent Ladies (w)</t>
  </si>
  <si>
    <t>Standard Liege (w)</t>
  </si>
  <si>
    <t>L FAWCS</t>
  </si>
  <si>
    <t>Briton Ferry Athletic</t>
  </si>
  <si>
    <t>Caerau Ely</t>
  </si>
  <si>
    <t>GIB PD</t>
  </si>
  <si>
    <t>Lynx FC</t>
  </si>
  <si>
    <t>College 1975 FC</t>
  </si>
  <si>
    <t>AS Roma</t>
  </si>
  <si>
    <t>WALC</t>
  </si>
  <si>
    <t>Colwyn Bay</t>
  </si>
  <si>
    <t>Airbus UK Broughton</t>
  </si>
  <si>
    <t>Ire LSL</t>
  </si>
  <si>
    <t>Tolka Rovers</t>
  </si>
  <si>
    <t>Portlaoise AFC</t>
  </si>
  <si>
    <t>Villarreal</t>
  </si>
  <si>
    <t>Malaga</t>
  </si>
  <si>
    <t>Tenerife</t>
  </si>
  <si>
    <t>Carmarthen</t>
  </si>
  <si>
    <t>Ammanford</t>
  </si>
  <si>
    <t>Castleknock Celtic</t>
  </si>
  <si>
    <t>Bangor Celtic</t>
  </si>
  <si>
    <t>ARG B M</t>
  </si>
  <si>
    <t>Colegiales</t>
  </si>
  <si>
    <t>CA Fenix Pilar</t>
  </si>
  <si>
    <t>ADT M</t>
  </si>
  <si>
    <t>Yupanqui(N)</t>
  </si>
  <si>
    <t>Deportivo Paraguayo</t>
  </si>
  <si>
    <t>Cerro Largo Reserves</t>
  </si>
  <si>
    <t>Racing Club de Montevideo Reserves</t>
  </si>
  <si>
    <t>ARGW D1</t>
  </si>
  <si>
    <t>Boca Juniors (w)</t>
  </si>
  <si>
    <t>Gimnasia LP (W)</t>
  </si>
  <si>
    <t>enior C</t>
  </si>
  <si>
    <t>Home Farm FC</t>
  </si>
  <si>
    <t>Crumlin United</t>
  </si>
  <si>
    <t>CRC U20</t>
  </si>
  <si>
    <t>Alajuelense U20</t>
  </si>
  <si>
    <t>ADR Jicaral U20</t>
  </si>
  <si>
    <t>17:15</t>
  </si>
  <si>
    <t>Collinstown</t>
  </si>
  <si>
    <t>St John Bosco</t>
  </si>
  <si>
    <t>POR D1</t>
  </si>
  <si>
    <t>Nacional Montevideo U20(N)</t>
  </si>
  <si>
    <t>River Plate U20</t>
  </si>
  <si>
    <t>Nottingen</t>
  </si>
  <si>
    <t>VfB Stuttgart II</t>
  </si>
  <si>
    <t>http://www.nowgoal.com/analysis/1753192.html</t>
  </si>
  <si>
    <t>http://www.nowgoal.com/analysis/1819396.html</t>
  </si>
  <si>
    <t>http://www.nowgoal.com/analysis/.html</t>
  </si>
  <si>
    <t>http://www.nowgoal.com/analysis/1818820.html</t>
  </si>
  <si>
    <t>http://www.nowgoal.com/analysis/1789235.html</t>
  </si>
  <si>
    <t>http://www.nowgoal.com/analysis/1753194.html</t>
  </si>
  <si>
    <t>http://www.nowgoal.com/analysis/1819397.html</t>
  </si>
  <si>
    <t>http://www.nowgoal.com/analysis/1821265.html</t>
  </si>
  <si>
    <t>http://www.nowgoal.com/analysis/1820524.html</t>
  </si>
  <si>
    <t>http://www.nowgoal.com/analysis/1748051.html</t>
  </si>
  <si>
    <t>http://www.nowgoal.com/analysis/1748052.html</t>
  </si>
  <si>
    <t>http://www.nowgoal.com/analysis/1821137.html</t>
  </si>
  <si>
    <t>http://www.nowgoal.com/analysis/1821021.html</t>
  </si>
  <si>
    <t>http://www.nowgoal.com/analysis/1820889.html</t>
  </si>
  <si>
    <t>http://www.nowgoal.com/analysis/1784017.html</t>
  </si>
  <si>
    <t>http://www.nowgoal.com/analysis/1819084.html</t>
  </si>
  <si>
    <t>http://www.nowgoal.com/analysis/1709922.html</t>
  </si>
  <si>
    <t>http://www.nowgoal.com/analysis/1821155.html</t>
  </si>
  <si>
    <t>http://www.nowgoal.com/analysis/1821251.html</t>
  </si>
  <si>
    <t>http://www.nowgoal.com/analysis/1821157.html</t>
  </si>
  <si>
    <t>http://www.nowgoal.com/analysis/1821167.html</t>
  </si>
  <si>
    <t>http://www.nowgoal.com/analysis/1780855.html</t>
  </si>
  <si>
    <t>http://www.nowgoal.com/analysis/1780860.html</t>
  </si>
  <si>
    <t>http://www.nowgoal.com/analysis/1821280.html</t>
  </si>
  <si>
    <t>http://www.nowgoal.com/analysis/1821163.html</t>
  </si>
  <si>
    <t>http://www.nowgoal.com/analysis/1821164.html</t>
  </si>
  <si>
    <t>http://www.nowgoal.com/analysis/1821165.html</t>
  </si>
  <si>
    <t>http://www.nowgoal.com/analysis/1821281.html</t>
  </si>
  <si>
    <t>http://www.nowgoal.com/analysis/1821282.html</t>
  </si>
  <si>
    <t>http://www.nowgoal.com/analysis/1793669.html</t>
  </si>
  <si>
    <t>http://www.nowgoal.com/analysis/1821171.html</t>
  </si>
  <si>
    <t>http://www.nowgoal.com/analysis/1821172.html</t>
  </si>
  <si>
    <t>http://www.nowgoal.com/analysis/1821168.html</t>
  </si>
  <si>
    <t>http://www.nowgoal.com/analysis/1821169.html</t>
  </si>
  <si>
    <t>http://www.nowgoal.com/analysis/1821170.html</t>
  </si>
  <si>
    <t>http://www.nowgoal.com/analysis/1793430.html</t>
  </si>
  <si>
    <t>http://www.nowgoal.com/analysis/1793433.html</t>
  </si>
  <si>
    <t>http://www.nowgoal.com/analysis/1793435.html</t>
  </si>
  <si>
    <t>http://www.nowgoal.com/analysis/1793674.html</t>
  </si>
  <si>
    <t>http://www.nowgoal.com/analysis/1793676.html</t>
  </si>
  <si>
    <t>http://www.nowgoal.com/analysis/1742879.html</t>
  </si>
  <si>
    <t>http://www.nowgoal.com/analysis/1751982.html</t>
  </si>
  <si>
    <t>http://www.nowgoal.com/analysis/1793434.html</t>
  </si>
  <si>
    <t>http://www.nowgoal.com/analysis/1793436.html</t>
  </si>
  <si>
    <t>http://www.nowgoal.com/analysis/1793675.html</t>
  </si>
  <si>
    <t>http://www.nowgoal.com/analysis/1769787.html</t>
  </si>
  <si>
    <t>http://www.nowgoal.com/analysis/1769788.html</t>
  </si>
  <si>
    <t>http://www.nowgoal.com/analysis/1821182.html</t>
  </si>
  <si>
    <t>http://www.nowgoal.com/analysis/1821183.html</t>
  </si>
  <si>
    <t>http://www.nowgoal.com/analysis/1821184.html</t>
  </si>
  <si>
    <t>http://www.nowgoal.com/analysis/1785304.html</t>
  </si>
  <si>
    <t>http://www.nowgoal.com/analysis/1821175.html</t>
  </si>
  <si>
    <t>http://www.nowgoal.com/analysis/1821181.html</t>
  </si>
  <si>
    <t>http://www.nowgoal.com/analysis/1821185.html</t>
  </si>
  <si>
    <t>http://www.nowgoal.com/analysis/1821188.html</t>
  </si>
  <si>
    <t>http://www.nowgoal.com/analysis/1821189.html</t>
  </si>
  <si>
    <t>http://www.nowgoal.com/analysis/1821177.html</t>
  </si>
  <si>
    <t>http://www.nowgoal.com/analysis/1819085.html</t>
  </si>
  <si>
    <t>http://www.nowgoal.com/analysis/1793673.html</t>
  </si>
  <si>
    <t>http://www.nowgoal.com/analysis/1709924.html</t>
  </si>
  <si>
    <t>http://www.nowgoal.com/analysis/1709929.html</t>
  </si>
  <si>
    <t>http://www.nowgoal.com/analysis/1821190.html</t>
  </si>
  <si>
    <t>http://www.nowgoal.com/analysis/1821191.html</t>
  </si>
  <si>
    <t>http://www.nowgoal.com/analysis/1791362.html</t>
  </si>
  <si>
    <t>http://www.nowgoal.com/analysis/1821248.html</t>
  </si>
  <si>
    <t>http://www.nowgoal.com/analysis/1821192.html</t>
  </si>
  <si>
    <t>http://www.nowgoal.com/analysis/1768819.html</t>
  </si>
  <si>
    <t>http://www.nowgoal.com/analysis/1821151.html</t>
  </si>
  <si>
    <t>http://www.nowgoal.com/analysis/1821193.html</t>
  </si>
  <si>
    <t>http://www.nowgoal.com/analysis/1821194.html</t>
  </si>
  <si>
    <t>http://www.nowgoal.com/analysis/1821195.html</t>
  </si>
  <si>
    <t>http://www.nowgoal.com/analysis/1821230.html</t>
  </si>
  <si>
    <t>http://www.nowgoal.com/analysis/1821231.html</t>
  </si>
  <si>
    <t>http://www.nowgoal.com/analysis/1821232.html</t>
  </si>
  <si>
    <t>http://www.nowgoal.com/analysis/1821233.html</t>
  </si>
  <si>
    <t>http://www.nowgoal.com/analysis/1821234.html</t>
  </si>
  <si>
    <t>http://www.nowgoal.com/analysis/1821235.html</t>
  </si>
  <si>
    <t>http://www.nowgoal.com/analysis/1821236.html</t>
  </si>
  <si>
    <t>http://www.nowgoal.com/analysis/1821237.html</t>
  </si>
  <si>
    <t>http://www.nowgoal.com/analysis/1821239.html</t>
  </si>
  <si>
    <t>http://www.nowgoal.com/analysis/1821240.html</t>
  </si>
  <si>
    <t>http://www.nowgoal.com/analysis/1821241.html</t>
  </si>
  <si>
    <t>http://www.nowgoal.com/analysis/1821253.html</t>
  </si>
  <si>
    <t>http://www.nowgoal.com/analysis/1821252.html</t>
  </si>
  <si>
    <t>http://www.nowgoal.com/analysis/1820856.html</t>
  </si>
  <si>
    <t>http://www.nowgoal.com/analysis/1821198.html</t>
  </si>
  <si>
    <t>http://www.nowgoal.com/analysis/1821199.html</t>
  </si>
  <si>
    <t>http://www.nowgoal.com/analysis/1821200.html</t>
  </si>
  <si>
    <t>http://www.nowgoal.com/analysis/1821242.html</t>
  </si>
  <si>
    <t>http://www.nowgoal.com/analysis/1820857.html</t>
  </si>
  <si>
    <t>http://www.nowgoal.com/analysis/1813849.html</t>
  </si>
  <si>
    <t>http://www.nowgoal.com/analysis/1813850.html</t>
  </si>
  <si>
    <t>http://www.nowgoal.com/analysis/1821271.html</t>
  </si>
  <si>
    <t>http://www.nowgoal.com/analysis/1774419.html</t>
  </si>
  <si>
    <t>http://www.nowgoal.com/analysis/1774424.html</t>
  </si>
  <si>
    <t>http://www.nowgoal.com/analysis/1774425.html</t>
  </si>
  <si>
    <t>http://www.nowgoal.com/analysis/1774426.html</t>
  </si>
  <si>
    <t>http://www.nowgoal.com/analysis/1794831.html</t>
  </si>
  <si>
    <t>http://www.nowgoal.com/analysis/1772531.html</t>
  </si>
  <si>
    <t>http://www.nowgoal.com/analysis/1796666.html</t>
  </si>
  <si>
    <t>http://www.nowgoal.com/analysis/1821257.html</t>
  </si>
  <si>
    <t>http://www.nowgoal.com/analysis/1821258.html</t>
  </si>
  <si>
    <t>http://www.nowgoal.com/analysis/1820858.html</t>
  </si>
  <si>
    <t>http://www.nowgoal.com/analysis/1820859.html</t>
  </si>
  <si>
    <t>http://www.nowgoal.com/analysis/1821201.html</t>
  </si>
  <si>
    <t>http://www.nowgoal.com/analysis/1821202.html</t>
  </si>
  <si>
    <t>http://www.nowgoal.com/analysis/1742888.html</t>
  </si>
  <si>
    <t>http://www.nowgoal.com/analysis/1751977.html</t>
  </si>
  <si>
    <t>http://www.nowgoal.com/analysis/1751986.html</t>
  </si>
  <si>
    <t>http://www.nowgoal.com/analysis/1732240.html</t>
  </si>
  <si>
    <t>http://www.nowgoal.com/analysis/1806916.html</t>
  </si>
  <si>
    <t>http://www.nowgoal.com/analysis/1746906.html</t>
  </si>
  <si>
    <t>http://www.nowgoal.com/analysis/1821203.html</t>
  </si>
  <si>
    <t>http://www.nowgoal.com/analysis/1821204.html</t>
  </si>
  <si>
    <t>http://www.nowgoal.com/analysis/1821205.html</t>
  </si>
  <si>
    <t>http://www.nowgoal.com/analysis/1821206.html</t>
  </si>
  <si>
    <t>http://www.nowgoal.com/analysis/1804557.html</t>
  </si>
  <si>
    <t>http://www.nowgoal.com/analysis/1804558.html</t>
  </si>
  <si>
    <t>http://www.nowgoal.com/analysis/1804559.html</t>
  </si>
  <si>
    <t>http://www.nowgoal.com/analysis/1819563.html</t>
  </si>
  <si>
    <t>http://www.nowgoal.com/analysis/1821208.html</t>
  </si>
  <si>
    <t>http://www.nowgoal.com/analysis/1751212.html</t>
  </si>
  <si>
    <t>http://www.nowgoal.com/analysis/1751981.html</t>
  </si>
  <si>
    <t>http://www.nowgoal.com/analysis/1817457.html</t>
  </si>
  <si>
    <t>http://www.nowgoal.com/analysis/1761700.html</t>
  </si>
  <si>
    <t>http://www.nowgoal.com/analysis/1798265.html</t>
  </si>
  <si>
    <t>http://www.nowgoal.com/analysis/1797717.html</t>
  </si>
  <si>
    <t>http://www.nowgoal.com/analysis/1721242.html</t>
  </si>
  <si>
    <t>http://www.nowgoal.com/analysis/1721244.html</t>
  </si>
  <si>
    <t>http://www.nowgoal.com/analysis/1751983.html</t>
  </si>
  <si>
    <t>http://www.nowgoal.com/analysis/1751984.html</t>
  </si>
  <si>
    <t>http://www.nowgoal.com/analysis/1733608.html</t>
  </si>
  <si>
    <t>http://www.nowgoal.com/analysis/1821259.html</t>
  </si>
  <si>
    <t>http://www.nowgoal.com/analysis/1821260.html</t>
  </si>
  <si>
    <t>http://www.nowgoal.com/analysis/1820861.html</t>
  </si>
  <si>
    <t>http://www.nowgoal.com/analysis/1749479.html</t>
  </si>
  <si>
    <t>http://www.nowgoal.com/analysis/1721457.html</t>
  </si>
  <si>
    <t>http://www.nowgoal.com/analysis/1731247.html</t>
  </si>
  <si>
    <t>http://www.nowgoal.com/analysis/1755569.html</t>
  </si>
  <si>
    <t>http://www.nowgoal.com/analysis/1727271.html</t>
  </si>
  <si>
    <t>http://www.nowgoal.com/analysis/1735032.html</t>
  </si>
  <si>
    <t>http://www.nowgoal.com/analysis/1735034.html</t>
  </si>
  <si>
    <t>http://www.nowgoal.com/analysis/1742880.html</t>
  </si>
  <si>
    <t>http://www.nowgoal.com/analysis/1755751.html</t>
  </si>
  <si>
    <t>http://www.nowgoal.com/analysis/1723746.html</t>
  </si>
  <si>
    <t>http://www.nowgoal.com/analysis/1740311.html</t>
  </si>
  <si>
    <t>http://www.nowgoal.com/analysis/1758909.html</t>
  </si>
  <si>
    <t>http://www.nowgoal.com/analysis/1721040.html</t>
  </si>
  <si>
    <t>http://www.nowgoal.com/analysis/1747682.html</t>
  </si>
  <si>
    <t>http://www.nowgoal.com/analysis/1821211.html</t>
  </si>
  <si>
    <t>http://www.nowgoal.com/analysis/1821212.html</t>
  </si>
  <si>
    <t>http://www.nowgoal.com/analysis/1774022.html</t>
  </si>
  <si>
    <t>http://www.nowgoal.com/analysis/1741769.html</t>
  </si>
  <si>
    <t>http://www.nowgoal.com/analysis/1733611.html</t>
  </si>
  <si>
    <t>http://www.nowgoal.com/analysis/1736115.html</t>
  </si>
  <si>
    <t>http://www.nowgoal.com/analysis/1819422.html</t>
  </si>
  <si>
    <t>http://www.nowgoal.com/analysis/1821213.html</t>
  </si>
  <si>
    <t>http://www.nowgoal.com/analysis/1821215.html</t>
  </si>
  <si>
    <t>http://www.nowgoal.com/analysis/1750200.html</t>
  </si>
  <si>
    <t>http://www.nowgoal.com/analysis/1725435.html</t>
  </si>
  <si>
    <t>http://www.nowgoal.com/analysis/1725436.html</t>
  </si>
  <si>
    <t>http://www.nowgoal.com/analysis/1725437.html</t>
  </si>
  <si>
    <t>http://www.nowgoal.com/analysis/1725438.html</t>
  </si>
  <si>
    <t>http://www.nowgoal.com/analysis/1725439.html</t>
  </si>
  <si>
    <t>http://www.nowgoal.com/analysis/1725440.html</t>
  </si>
  <si>
    <t>http://www.nowgoal.com/analysis/1725441.html</t>
  </si>
  <si>
    <t>http://www.nowgoal.com/analysis/1725442.html</t>
  </si>
  <si>
    <t>http://www.nowgoal.com/analysis/1733130.html</t>
  </si>
  <si>
    <t>http://www.nowgoal.com/analysis/1817433.html</t>
  </si>
  <si>
    <t>http://www.nowgoal.com/analysis/1817458.html</t>
  </si>
  <si>
    <t>http://www.nowgoal.com/analysis/1821218.html</t>
  </si>
  <si>
    <t>http://www.nowgoal.com/analysis/1768820.html</t>
  </si>
  <si>
    <t>http://www.nowgoal.com/analysis/1768821.html</t>
  </si>
  <si>
    <t>http://www.nowgoal.com/analysis/1768951.html</t>
  </si>
  <si>
    <t>http://www.nowgoal.com/analysis/1769949.html</t>
  </si>
  <si>
    <t>http://www.nowgoal.com/analysis/1821217.html</t>
  </si>
  <si>
    <t>http://www.nowgoal.com/analysis/1723416.html</t>
  </si>
  <si>
    <t>http://www.nowgoal.com/analysis/1734251.html</t>
  </si>
  <si>
    <t>http://www.nowgoal.com/analysis/1737715.html</t>
  </si>
  <si>
    <t>http://www.nowgoal.com/analysis/1745571.html</t>
  </si>
  <si>
    <t>http://www.nowgoal.com/analysis/1721458.html</t>
  </si>
  <si>
    <t>http://www.nowgoal.com/analysis/1780473.html</t>
  </si>
  <si>
    <t>http://www.nowgoal.com/analysis/1763552.html</t>
  </si>
  <si>
    <t>http://www.nowgoal.com/analysis/1723752.html</t>
  </si>
  <si>
    <t>http://www.nowgoal.com/analysis/1727773.html</t>
  </si>
  <si>
    <t>http://www.nowgoal.com/analysis/1820832.html</t>
  </si>
  <si>
    <t>http://www.nowgoal.com/analysis/1740680.html</t>
  </si>
  <si>
    <t>http://www.nowgoal.com/analysis/1770486.html</t>
  </si>
  <si>
    <t>http://www.nowgoal.com/analysis/1742887.html</t>
  </si>
  <si>
    <t>http://www.nowgoal.com/analysis/1820833.html</t>
  </si>
  <si>
    <t>http://www.nowgoal.com/analysis/1772190.html</t>
  </si>
  <si>
    <t>http://www.nowgoal.com/analysis/1790903.html</t>
  </si>
  <si>
    <t>http://www.nowgoal.com/analysis/1820690.html</t>
  </si>
  <si>
    <t>http://www.nowgoal.com/analysis/1821244.html</t>
  </si>
  <si>
    <t>http://www.nowgoal.com/analysis/1745052.html</t>
  </si>
  <si>
    <t>http://www.nowgoal.com/analysis/1821141.html</t>
  </si>
  <si>
    <t>Velez Sarsfield</t>
  </si>
  <si>
    <t>CON CSA</t>
  </si>
  <si>
    <t>Colon de Santa Fe(N)</t>
  </si>
  <si>
    <t>Independiente Jose Teran</t>
  </si>
  <si>
    <t>River Plate</t>
  </si>
  <si>
    <t>Godoy Cruz Antonio Tomba</t>
  </si>
  <si>
    <t>ARG C</t>
  </si>
  <si>
    <t>Union Santa Fe</t>
  </si>
  <si>
    <t>Atletico Mineiro</t>
  </si>
  <si>
    <t>Rosario Central</t>
  </si>
  <si>
    <t>Sol de Mayo(N)</t>
  </si>
  <si>
    <t>Gimnasia La Plata</t>
  </si>
  <si>
    <t>Zulia FC2</t>
  </si>
  <si>
    <t>Racing Club</t>
  </si>
  <si>
    <t>Patronato Parana</t>
  </si>
  <si>
    <t>Talleres Cordoba</t>
  </si>
  <si>
    <t>Boca Juniors</t>
  </si>
  <si>
    <t>Estudiantes La Plata</t>
  </si>
  <si>
    <t>ARG SLC</t>
  </si>
  <si>
    <t>ARG D1-19</t>
  </si>
  <si>
    <t>ARG D1-23</t>
  </si>
  <si>
    <t>23º</t>
  </si>
  <si>
    <t>NÃO</t>
  </si>
  <si>
    <t>FC WSAG</t>
  </si>
  <si>
    <t>01:15</t>
  </si>
  <si>
    <t>Sri Lanka (w)</t>
  </si>
  <si>
    <t>Maldives (w)</t>
  </si>
  <si>
    <t>Urawa Red Diamonds</t>
  </si>
  <si>
    <t>Kawasaki Frontale</t>
  </si>
  <si>
    <t>AUS WAL</t>
  </si>
  <si>
    <t>Melbourne Victory (w)</t>
  </si>
  <si>
    <t>WS Wanderers (w)</t>
  </si>
  <si>
    <t>Shriker osaka Futsal</t>
  </si>
  <si>
    <t>Vasagey oita Futsal</t>
  </si>
  <si>
    <t>http://www.nowgoal.com/analysis/1819669.html</t>
  </si>
  <si>
    <t>http://www.nowgoal.com/analysis/1662068.html</t>
  </si>
  <si>
    <t>http://www.nowgoal.com/analysis/1662069.html</t>
  </si>
  <si>
    <t>http://www.nowgoal.com/analysis/1662070.html</t>
  </si>
  <si>
    <t>http://www.nowgoal.com/analysis/1662071.html</t>
  </si>
  <si>
    <t>http://www.nowgoal.com/analysis/1662072.html</t>
  </si>
  <si>
    <t>http://www.nowgoal.com/analysis/1662073.html</t>
  </si>
  <si>
    <t>http://www.nowgoal.com/analysis/1662074.html</t>
  </si>
  <si>
    <t>http://www.nowgoal.com/analysis/1662075.html</t>
  </si>
  <si>
    <t>http://www.nowgoal.com/analysis/1662076.html</t>
  </si>
  <si>
    <t>http://www.nowgoal.com/analysis/1814803.html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</si>
</sst>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\ * #,##0.00_-;\-&quot;R$&quot;\ * #,##0.00_-;_-&quot;R$&quot;\ * &quot;-&quot;??_-;_-@_-"/>
    <numFmt numFmtId="165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Gray">
        <fgColor theme="3"/>
        <bgColor theme="1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auto="1"/>
      </right>
      <top/>
      <bottom/>
      <diagonal/>
    </border>
    <border>
      <left style="medium">
        <color theme="0"/>
      </left>
      <right style="medium">
        <color auto="1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4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6" borderId="25">
      <alignment horizontal="center"/>
    </xf>
    <xf numFmtId="0" fontId="16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/>
    </xf>
    <xf numFmtId="0" fontId="3" fillId="2" borderId="15" xfId="0" applyFont="1" applyFill="1" applyBorder="1" applyAlignment="1" applyProtection="1">
      <alignment horizontal="center"/>
      <protection locked="0" hidden="1"/>
    </xf>
    <xf numFmtId="0" fontId="4" fillId="0" borderId="0" xfId="0" applyFont="1"/>
    <xf numFmtId="0" fontId="5" fillId="4" borderId="15" xfId="0" applyFont="1" applyFill="1" applyBorder="1" applyAlignment="1">
      <alignment horizontal="center" vertical="center"/>
    </xf>
    <xf numFmtId="9" fontId="8" fillId="0" borderId="14" xfId="1" applyFont="1" applyBorder="1" applyAlignment="1">
      <alignment horizontal="center"/>
    </xf>
    <xf numFmtId="2" fontId="8" fillId="0" borderId="6" xfId="0" applyNumberFormat="1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164" fontId="9" fillId="0" borderId="14" xfId="2" applyFont="1" applyBorder="1" applyAlignment="1">
      <alignment horizontal="center"/>
    </xf>
    <xf numFmtId="0" fontId="9" fillId="4" borderId="19" xfId="0" applyFont="1" applyFill="1" applyBorder="1" applyAlignment="1">
      <alignment horizontal="center"/>
    </xf>
    <xf numFmtId="9" fontId="8" fillId="0" borderId="13" xfId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0" borderId="0" xfId="0" applyFont="1"/>
    <xf numFmtId="164" fontId="9" fillId="0" borderId="13" xfId="2" applyFont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164" fontId="8" fillId="5" borderId="9" xfId="0" applyNumberFormat="1" applyFont="1" applyFill="1" applyBorder="1"/>
    <xf numFmtId="0" fontId="10" fillId="2" borderId="9" xfId="0" applyFont="1" applyFill="1" applyBorder="1"/>
    <xf numFmtId="164" fontId="8" fillId="3" borderId="8" xfId="2" applyFont="1" applyFill="1" applyBorder="1"/>
    <xf numFmtId="0" fontId="10" fillId="2" borderId="8" xfId="0" applyFont="1" applyFill="1" applyBorder="1"/>
    <xf numFmtId="164" fontId="8" fillId="5" borderId="3" xfId="2" applyFont="1" applyFill="1" applyBorder="1"/>
    <xf numFmtId="0" fontId="10" fillId="2" borderId="3" xfId="0" applyFont="1" applyFill="1" applyBorder="1"/>
    <xf numFmtId="9" fontId="8" fillId="0" borderId="12" xfId="1" applyFont="1" applyBorder="1" applyAlignment="1">
      <alignment horizontal="center"/>
    </xf>
    <xf numFmtId="2" fontId="8" fillId="0" borderId="11" xfId="0" applyNumberFormat="1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9" fillId="4" borderId="24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23" xfId="0" applyFont="1" applyFill="1" applyBorder="1" applyAlignment="1">
      <alignment horizontal="center"/>
    </xf>
    <xf numFmtId="164" fontId="8" fillId="0" borderId="14" xfId="0" applyNumberFormat="1" applyFont="1" applyBorder="1"/>
    <xf numFmtId="164" fontId="8" fillId="0" borderId="6" xfId="0" applyNumberFormat="1" applyFont="1" applyBorder="1"/>
    <xf numFmtId="164" fontId="8" fillId="3" borderId="6" xfId="2" applyFont="1" applyFill="1" applyBorder="1"/>
    <xf numFmtId="0" fontId="8" fillId="0" borderId="6" xfId="0" applyFont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2" fillId="4" borderId="15" xfId="2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164" fontId="2" fillId="4" borderId="32" xfId="2" applyFill="1" applyBorder="1" applyAlignment="1">
      <alignment horizontal="center"/>
    </xf>
    <xf numFmtId="164" fontId="0" fillId="4" borderId="32" xfId="0" applyNumberFormat="1" applyFill="1" applyBorder="1" applyAlignment="1">
      <alignment horizontal="center"/>
    </xf>
    <xf numFmtId="164" fontId="7" fillId="3" borderId="30" xfId="0" applyNumberFormat="1" applyFont="1" applyFill="1" applyBorder="1"/>
    <xf numFmtId="164" fontId="7" fillId="3" borderId="33" xfId="0" applyNumberFormat="1" applyFont="1" applyFill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2" fontId="0" fillId="4" borderId="37" xfId="0" applyNumberFormat="1" applyFill="1" applyBorder="1" applyAlignment="1">
      <alignment horizontal="center"/>
    </xf>
    <xf numFmtId="0" fontId="3" fillId="2" borderId="15" xfId="0" applyFont="1" applyFill="1" applyBorder="1"/>
    <xf numFmtId="164" fontId="5" fillId="3" borderId="15" xfId="2" applyFont="1" applyFill="1" applyBorder="1" applyAlignment="1">
      <alignment horizontal="center"/>
    </xf>
    <xf numFmtId="164" fontId="4" fillId="4" borderId="15" xfId="2" applyFont="1" applyFill="1" applyBorder="1" applyAlignment="1">
      <alignment horizontal="center"/>
    </xf>
    <xf numFmtId="0" fontId="4" fillId="4" borderId="15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64" fontId="0" fillId="0" borderId="0" xfId="0" applyNumberFormat="1"/>
    <xf numFmtId="164" fontId="0" fillId="0" borderId="0" xfId="2" applyFon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vertical="center"/>
    </xf>
    <xf numFmtId="0" fontId="4" fillId="0" borderId="15" xfId="0" applyFont="1" applyBorder="1"/>
    <xf numFmtId="1" fontId="5" fillId="4" borderId="15" xfId="0" applyNumberFormat="1" applyFont="1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0" fontId="1" fillId="2" borderId="4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2" fontId="0" fillId="4" borderId="42" xfId="0" applyNumberFormat="1" applyFill="1" applyBorder="1" applyAlignment="1">
      <alignment horizontal="center"/>
    </xf>
    <xf numFmtId="20" fontId="0" fillId="4" borderId="41" xfId="0" applyNumberFormat="1" applyFill="1" applyBorder="1" applyAlignment="1">
      <alignment horizontal="center"/>
    </xf>
    <xf numFmtId="164" fontId="0" fillId="0" borderId="0" xfId="2" applyFont="1"/>
    <xf numFmtId="9" fontId="4" fillId="0" borderId="0" xfId="1" applyFont="1" applyAlignment="1">
      <alignment horizontal="center"/>
    </xf>
    <xf numFmtId="164" fontId="7" fillId="5" borderId="15" xfId="0" applyNumberFormat="1" applyFont="1" applyFill="1" applyBorder="1"/>
    <xf numFmtId="49" fontId="16" fillId="0" borderId="0" xfId="4" applyNumberFormat="1" applyAlignment="1">
      <alignment horizontal="center"/>
    </xf>
    <xf numFmtId="0" fontId="3" fillId="2" borderId="15" xfId="0" applyFont="1" applyFill="1" applyBorder="1" applyAlignment="1">
      <alignment horizontal="center"/>
    </xf>
    <xf numFmtId="2" fontId="5" fillId="4" borderId="15" xfId="0" applyNumberFormat="1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9" fontId="5" fillId="0" borderId="15" xfId="1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51" xfId="0" applyFont="1" applyFill="1" applyBorder="1" applyAlignment="1" applyProtection="1">
      <alignment horizontal="center" vertical="center"/>
      <protection locked="0" hidden="1"/>
    </xf>
    <xf numFmtId="0" fontId="3" fillId="2" borderId="52" xfId="0" applyFont="1" applyFill="1" applyBorder="1" applyAlignment="1" applyProtection="1">
      <alignment horizontal="center" vertical="center"/>
      <protection locked="0" hidden="1"/>
    </xf>
    <xf numFmtId="0" fontId="17" fillId="2" borderId="0" xfId="0" applyFont="1" applyFill="1" applyAlignment="1">
      <alignment horizontal="centerContinuous" vertical="center"/>
    </xf>
    <xf numFmtId="0" fontId="17" fillId="2" borderId="54" xfId="0" applyFont="1" applyFill="1" applyBorder="1" applyAlignment="1">
      <alignment horizontal="centerContinuous" vertical="center"/>
    </xf>
    <xf numFmtId="0" fontId="0" fillId="0" borderId="0" xfId="0" applyAlignment="1">
      <alignment horizontal="center"/>
    </xf>
    <xf numFmtId="0" fontId="5" fillId="4" borderId="15" xfId="0" applyFont="1" applyFill="1" applyBorder="1" applyAlignment="1" applyProtection="1">
      <alignment horizontal="center" vertical="center"/>
      <protection hidden="1"/>
    </xf>
    <xf numFmtId="0" fontId="5" fillId="4" borderId="53" xfId="0" applyFont="1" applyFill="1" applyBorder="1" applyAlignment="1" applyProtection="1">
      <alignment horizontal="center" vertical="center"/>
      <protection hidden="1"/>
    </xf>
    <xf numFmtId="0" fontId="5" fillId="4" borderId="15" xfId="0" applyFont="1" applyFill="1" applyBorder="1" applyAlignment="1">
      <alignment horizontal="left" vertical="center"/>
    </xf>
    <xf numFmtId="0" fontId="5" fillId="4" borderId="15" xfId="0" applyFont="1" applyFill="1" applyBorder="1" applyAlignment="1">
      <alignment horizontal="center" vertical="center" wrapText="1"/>
    </xf>
    <xf numFmtId="2" fontId="3" fillId="2" borderId="15" xfId="0" applyNumberFormat="1" applyFont="1" applyFill="1" applyBorder="1" applyAlignment="1">
      <alignment horizontal="center"/>
    </xf>
    <xf numFmtId="9" fontId="5" fillId="4" borderId="15" xfId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5" fillId="4" borderId="15" xfId="1" applyNumberFormat="1" applyFont="1" applyFill="1" applyBorder="1" applyAlignment="1" applyProtection="1">
      <alignment horizontal="center" vertical="center"/>
      <protection hidden="1"/>
    </xf>
    <xf numFmtId="9" fontId="4" fillId="0" borderId="0" xfId="1" applyFont="1" applyFill="1" applyAlignment="1">
      <alignment horizontal="center"/>
    </xf>
    <xf numFmtId="0" fontId="4" fillId="0" borderId="0" xfId="0" applyFont="1" applyFill="1"/>
    <xf numFmtId="0" fontId="5" fillId="4" borderId="53" xfId="0" applyFont="1" applyFill="1" applyBorder="1" applyAlignment="1" applyProtection="1">
      <alignment horizontal="center" vertical="center"/>
      <protection locked="0" hidden="1"/>
    </xf>
    <xf numFmtId="0" fontId="3" fillId="2" borderId="15" xfId="0" applyFont="1" applyFill="1" applyBorder="1" applyAlignment="1">
      <alignment horizontal="center"/>
    </xf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left" vertical="center"/>
    </xf>
    <xf numFmtId="10" fontId="5" fillId="0" borderId="15" xfId="1" applyNumberFormat="1" applyFont="1" applyFill="1" applyBorder="1" applyAlignment="1">
      <alignment horizontal="center"/>
    </xf>
    <xf numFmtId="165" fontId="4" fillId="0" borderId="15" xfId="1" applyNumberFormat="1" applyFont="1" applyBorder="1" applyAlignment="1">
      <alignment horizontal="center"/>
    </xf>
    <xf numFmtId="2" fontId="5" fillId="0" borderId="15" xfId="0" applyNumberFormat="1" applyFont="1" applyFill="1" applyBorder="1" applyAlignment="1">
      <alignment horizontal="center"/>
    </xf>
    <xf numFmtId="165" fontId="13" fillId="0" borderId="15" xfId="1" applyNumberFormat="1" applyFont="1" applyBorder="1" applyAlignment="1">
      <alignment horizontal="center" vertical="center"/>
    </xf>
    <xf numFmtId="2" fontId="4" fillId="0" borderId="15" xfId="0" applyNumberFormat="1" applyFont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5" fillId="4" borderId="15" xfId="1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9" fontId="5" fillId="4" borderId="53" xfId="1" applyNumberFormat="1" applyFont="1" applyFill="1" applyBorder="1" applyAlignment="1" applyProtection="1">
      <alignment horizontal="center" vertical="center"/>
      <protection hidden="1"/>
    </xf>
    <xf numFmtId="1" fontId="5" fillId="4" borderId="53" xfId="1" applyNumberFormat="1" applyFont="1" applyFill="1" applyBorder="1" applyAlignment="1" applyProtection="1">
      <alignment horizontal="center" vertical="center"/>
      <protection hidden="1"/>
    </xf>
    <xf numFmtId="0" fontId="3" fillId="2" borderId="15" xfId="0" applyFont="1" applyFill="1" applyBorder="1" applyAlignment="1">
      <alignment horizontal="center"/>
    </xf>
    <xf numFmtId="2" fontId="5" fillId="4" borderId="15" xfId="1" applyNumberFormat="1" applyFont="1" applyFill="1" applyBorder="1" applyAlignment="1">
      <alignment horizontal="center" vertical="center"/>
    </xf>
    <xf numFmtId="2" fontId="5" fillId="4" borderId="53" xfId="1" applyNumberFormat="1" applyFont="1" applyFill="1" applyBorder="1" applyAlignment="1" applyProtection="1">
      <alignment horizontal="center" vertical="center"/>
      <protection hidden="1"/>
    </xf>
    <xf numFmtId="9" fontId="4" fillId="0" borderId="0" xfId="0" applyNumberFormat="1" applyFont="1" applyAlignment="1">
      <alignment horizontal="center"/>
    </xf>
    <xf numFmtId="1" fontId="3" fillId="8" borderId="53" xfId="1" applyNumberFormat="1" applyFont="1" applyFill="1" applyBorder="1" applyAlignment="1" applyProtection="1">
      <alignment horizontal="center" vertical="center"/>
      <protection hidden="1"/>
    </xf>
    <xf numFmtId="2" fontId="5" fillId="8" borderId="15" xfId="0" applyNumberFormat="1" applyFont="1" applyFill="1" applyBorder="1" applyAlignment="1">
      <alignment horizontal="center"/>
    </xf>
    <xf numFmtId="2" fontId="5" fillId="9" borderId="15" xfId="0" applyNumberFormat="1" applyFont="1" applyFill="1" applyBorder="1" applyAlignment="1">
      <alignment horizontal="center"/>
    </xf>
    <xf numFmtId="164" fontId="5" fillId="4" borderId="15" xfId="2" applyFont="1" applyFill="1" applyBorder="1" applyAlignment="1">
      <alignment horizontal="center"/>
    </xf>
    <xf numFmtId="164" fontId="5" fillId="4" borderId="15" xfId="0" applyNumberFormat="1" applyFont="1" applyFill="1" applyBorder="1" applyAlignment="1">
      <alignment horizontal="center"/>
    </xf>
    <xf numFmtId="2" fontId="5" fillId="4" borderId="15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3" fillId="2" borderId="15" xfId="0" applyFont="1" applyFill="1" applyBorder="1" applyAlignment="1">
      <alignment horizontal="center" vertical="center"/>
    </xf>
    <xf numFmtId="14" fontId="5" fillId="4" borderId="15" xfId="0" applyNumberFormat="1" applyFont="1" applyFill="1" applyBorder="1" applyAlignment="1">
      <alignment horizontal="center" vertical="center"/>
    </xf>
    <xf numFmtId="9" fontId="5" fillId="4" borderId="15" xfId="1" applyFont="1" applyFill="1" applyBorder="1" applyAlignment="1">
      <alignment horizontal="center"/>
    </xf>
    <xf numFmtId="0" fontId="5" fillId="4" borderId="59" xfId="0" applyFont="1" applyFill="1" applyBorder="1" applyAlignment="1">
      <alignment horizontal="center" vertical="center"/>
    </xf>
    <xf numFmtId="2" fontId="5" fillId="3" borderId="15" xfId="0" applyNumberFormat="1" applyFont="1" applyFill="1" applyBorder="1" applyAlignment="1">
      <alignment horizontal="center"/>
    </xf>
    <xf numFmtId="1" fontId="21" fillId="0" borderId="0" xfId="0" applyNumberFormat="1" applyFont="1" applyAlignment="1">
      <alignment vertical="center"/>
    </xf>
    <xf numFmtId="2" fontId="5" fillId="8" borderId="15" xfId="0" applyNumberFormat="1" applyFont="1" applyFill="1" applyBorder="1" applyAlignment="1">
      <alignment horizontal="center" vertical="center"/>
    </xf>
    <xf numFmtId="2" fontId="5" fillId="9" borderId="15" xfId="0" applyNumberFormat="1" applyFont="1" applyFill="1" applyBorder="1" applyAlignment="1">
      <alignment horizontal="center" vertical="center"/>
    </xf>
    <xf numFmtId="2" fontId="5" fillId="4" borderId="15" xfId="0" applyNumberFormat="1" applyFont="1" applyFill="1" applyBorder="1" applyAlignment="1">
      <alignment horizontal="center" vertical="center"/>
    </xf>
    <xf numFmtId="2" fontId="5" fillId="9" borderId="53" xfId="1" applyNumberFormat="1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horizontal="center"/>
    </xf>
    <xf numFmtId="0" fontId="3" fillId="2" borderId="15" xfId="0" applyFont="1" applyFill="1" applyBorder="1" applyAlignment="1">
      <alignment horizontal="center"/>
    </xf>
    <xf numFmtId="1" fontId="3" fillId="8" borderId="15" xfId="0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0" fontId="3" fillId="4" borderId="15" xfId="1" applyNumberFormat="1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1" fontId="5" fillId="4" borderId="15" xfId="0" applyNumberFormat="1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10" fontId="5" fillId="4" borderId="15" xfId="1" applyNumberFormat="1" applyFont="1" applyFill="1" applyBorder="1" applyAlignment="1">
      <alignment horizontal="center"/>
    </xf>
    <xf numFmtId="1" fontId="3" fillId="8" borderId="17" xfId="0" applyNumberFormat="1" applyFont="1" applyFill="1" applyBorder="1" applyAlignment="1">
      <alignment horizontal="center" vertical="center"/>
    </xf>
    <xf numFmtId="1" fontId="3" fillId="8" borderId="16" xfId="0" applyNumberFormat="1" applyFont="1" applyFill="1" applyBorder="1" applyAlignment="1">
      <alignment horizontal="center" vertical="center"/>
    </xf>
    <xf numFmtId="1" fontId="3" fillId="8" borderId="18" xfId="0" applyNumberFormat="1" applyFont="1" applyFill="1" applyBorder="1" applyAlignment="1">
      <alignment horizontal="center" vertical="center"/>
    </xf>
    <xf numFmtId="1" fontId="5" fillId="4" borderId="15" xfId="0" applyNumberFormat="1" applyFont="1" applyFill="1" applyBorder="1" applyAlignment="1">
      <alignment horizontal="center"/>
    </xf>
    <xf numFmtId="2" fontId="4" fillId="4" borderId="17" xfId="0" applyNumberFormat="1" applyFont="1" applyFill="1" applyBorder="1" applyAlignment="1">
      <alignment horizontal="center"/>
    </xf>
    <xf numFmtId="2" fontId="4" fillId="4" borderId="18" xfId="0" applyNumberFormat="1" applyFont="1" applyFill="1" applyBorder="1" applyAlignment="1">
      <alignment horizontal="center"/>
    </xf>
    <xf numFmtId="2" fontId="4" fillId="4" borderId="16" xfId="0" applyNumberFormat="1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1" fontId="4" fillId="4" borderId="17" xfId="0" applyNumberFormat="1" applyFont="1" applyFill="1" applyBorder="1" applyAlignment="1">
      <alignment horizontal="center"/>
    </xf>
    <xf numFmtId="1" fontId="4" fillId="4" borderId="16" xfId="0" applyNumberFormat="1" applyFont="1" applyFill="1" applyBorder="1" applyAlignment="1">
      <alignment horizontal="center"/>
    </xf>
    <xf numFmtId="0" fontId="22" fillId="4" borderId="57" xfId="0" applyFont="1" applyFill="1" applyBorder="1" applyAlignment="1">
      <alignment horizontal="center" vertical="center"/>
    </xf>
    <xf numFmtId="0" fontId="22" fillId="4" borderId="58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0" fontId="22" fillId="4" borderId="60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61" xfId="0" applyFont="1" applyFill="1" applyBorder="1" applyAlignment="1">
      <alignment horizontal="center" vertical="center"/>
    </xf>
    <xf numFmtId="0" fontId="22" fillId="4" borderId="56" xfId="0" applyFont="1" applyFill="1" applyBorder="1" applyAlignment="1">
      <alignment horizontal="center" vertical="center"/>
    </xf>
    <xf numFmtId="0" fontId="22" fillId="4" borderId="54" xfId="0" applyFont="1" applyFill="1" applyBorder="1" applyAlignment="1">
      <alignment horizontal="center" vertical="center"/>
    </xf>
    <xf numFmtId="0" fontId="22" fillId="4" borderId="55" xfId="0" applyFont="1" applyFill="1" applyBorder="1" applyAlignment="1">
      <alignment horizontal="center" vertical="center"/>
    </xf>
    <xf numFmtId="0" fontId="14" fillId="2" borderId="38" xfId="0" applyFont="1" applyFill="1" applyBorder="1" applyAlignment="1">
      <alignment horizontal="center"/>
    </xf>
    <xf numFmtId="0" fontId="14" fillId="2" borderId="39" xfId="0" applyFont="1" applyFill="1" applyBorder="1" applyAlignment="1">
      <alignment horizontal="center"/>
    </xf>
    <xf numFmtId="0" fontId="14" fillId="2" borderId="40" xfId="0" applyFont="1" applyFill="1" applyBorder="1" applyAlignment="1">
      <alignment horizontal="center"/>
    </xf>
    <xf numFmtId="9" fontId="14" fillId="2" borderId="44" xfId="1" applyFont="1" applyFill="1" applyBorder="1" applyAlignment="1">
      <alignment horizontal="center"/>
    </xf>
    <xf numFmtId="9" fontId="14" fillId="2" borderId="45" xfId="1" applyFont="1" applyFill="1" applyBorder="1" applyAlignment="1">
      <alignment horizontal="center"/>
    </xf>
    <xf numFmtId="9" fontId="14" fillId="2" borderId="46" xfId="1" applyFont="1" applyFill="1" applyBorder="1" applyAlignment="1">
      <alignment horizontal="center"/>
    </xf>
    <xf numFmtId="9" fontId="15" fillId="8" borderId="47" xfId="1" applyFont="1" applyFill="1" applyBorder="1" applyAlignment="1">
      <alignment horizontal="center"/>
    </xf>
    <xf numFmtId="9" fontId="15" fillId="8" borderId="45" xfId="1" applyFont="1" applyFill="1" applyBorder="1" applyAlignment="1">
      <alignment horizontal="center"/>
    </xf>
    <xf numFmtId="9" fontId="15" fillId="8" borderId="48" xfId="1" applyFont="1" applyFill="1" applyBorder="1" applyAlignment="1">
      <alignment horizontal="center"/>
    </xf>
    <xf numFmtId="0" fontId="1" fillId="2" borderId="42" xfId="0" applyFont="1" applyFill="1" applyBorder="1" applyAlignment="1">
      <alignment horizontal="center"/>
    </xf>
    <xf numFmtId="0" fontId="1" fillId="2" borderId="49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</cellXfs>
  <cellStyles count="5">
    <cellStyle name="Estilo Black/Yellow" xfId="3" xr:uid="{00000000-0005-0000-0000-000000000000}"/>
    <cellStyle name="Hiperlink" xfId="4" builtinId="8"/>
    <cellStyle name="Moeda" xfId="2" builtinId="4"/>
    <cellStyle name="Normal" xfId="0" builtinId="0"/>
    <cellStyle name="Porcentagem" xfId="1" builtinId="5"/>
  </cellStyles>
  <dxfs count="57">
    <dxf>
      <fill>
        <patternFill>
          <bgColor rgb="FFFFFF0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numFmt numFmtId="1" formatCode="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/>
        <vertical/>
        <horizontal/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 style="medium">
          <color theme="0"/>
        </bottom>
      </border>
      <protection locked="0" hidden="1"/>
    </dxf>
    <dxf>
      <border>
        <top style="medium">
          <color theme="0"/>
        </top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 style="medium">
          <color theme="0"/>
        </horizontal>
      </border>
      <protection locked="0" hidden="1"/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66"/>
      <color rgb="FFE54F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104775</xdr:rowOff>
    </xdr:from>
    <xdr:to>
      <xdr:col>0</xdr:col>
      <xdr:colOff>1076325</xdr:colOff>
      <xdr:row>2</xdr:row>
      <xdr:rowOff>50800</xdr:rowOff>
    </xdr:to>
    <xdr:sp macro="[0]!btnAtualizarJogos_Clique" textlink="">
      <xdr:nvSpPr>
        <xdr:cNvPr id="2" name="Retângulo de cantos arredondados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95250" y="104775"/>
          <a:ext cx="981075" cy="3270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Jogos</a:t>
          </a:r>
          <a:endParaRPr lang="pt-BR" sz="1200" b="1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1866900</xdr:colOff>
          <xdr:row>0</xdr:row>
          <xdr:rowOff>171450</xdr:rowOff>
        </xdr:from>
        <xdr:to>
          <xdr:col>7</xdr:col>
          <xdr:colOff>38100</xdr:colOff>
          <xdr:row>2</xdr:row>
          <xdr:rowOff>38100</xdr:rowOff>
        </xdr:to>
        <xdr:sp macro="" textlink="">
          <xdr:nvSpPr>
            <xdr:cNvPr id="2049" name="cboPartid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257175</xdr:colOff>
      <xdr:row>0</xdr:row>
      <xdr:rowOff>114300</xdr:rowOff>
    </xdr:from>
    <xdr:to>
      <xdr:col>8</xdr:col>
      <xdr:colOff>715669</xdr:colOff>
      <xdr:row>2</xdr:row>
      <xdr:rowOff>93300</xdr:rowOff>
    </xdr:to>
    <xdr:sp macro="[0]!LocalizaJogo" textlink="">
      <xdr:nvSpPr>
        <xdr:cNvPr id="4" name="Retângulo de cantos arredondado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8305800" y="114300"/>
          <a:ext cx="1080000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Buscar</a:t>
          </a:r>
          <a:endParaRPr lang="pt-BR" sz="1200" b="1">
            <a:effectLst/>
          </a:endParaRPr>
        </a:p>
      </xdr:txBody>
    </xdr:sp>
    <xdr:clientData/>
  </xdr:twoCellAnchor>
  <xdr:twoCellAnchor editAs="absolute">
    <xdr:from>
      <xdr:col>0</xdr:col>
      <xdr:colOff>1123951</xdr:colOff>
      <xdr:row>0</xdr:row>
      <xdr:rowOff>104775</xdr:rowOff>
    </xdr:from>
    <xdr:to>
      <xdr:col>2</xdr:col>
      <xdr:colOff>200026</xdr:colOff>
      <xdr:row>2</xdr:row>
      <xdr:rowOff>47625</xdr:rowOff>
    </xdr:to>
    <xdr:sp macro="[0]!Busca_Automatica" textlink="">
      <xdr:nvSpPr>
        <xdr:cNvPr id="5" name="Retângulo de cantos arredondados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123951" y="104775"/>
          <a:ext cx="971550" cy="3238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Busca Auto</a:t>
          </a:r>
          <a:endParaRPr lang="pt-BR" sz="1200" b="1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397631</xdr:colOff>
      <xdr:row>4</xdr:row>
      <xdr:rowOff>132294</xdr:rowOff>
    </xdr:from>
    <xdr:ext cx="822100" cy="797197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631" y="799044"/>
          <a:ext cx="822100" cy="797197"/>
        </a:xfrm>
        <a:prstGeom prst="rect">
          <a:avLst/>
        </a:prstGeom>
      </xdr:spPr>
    </xdr:pic>
    <xdr:clientData/>
  </xdr:oneCellAnchor>
  <xdr:twoCellAnchor>
    <xdr:from>
      <xdr:col>0</xdr:col>
      <xdr:colOff>75413</xdr:colOff>
      <xdr:row>0</xdr:row>
      <xdr:rowOff>72764</xdr:rowOff>
    </xdr:from>
    <xdr:to>
      <xdr:col>1</xdr:col>
      <xdr:colOff>729600</xdr:colOff>
      <xdr:row>2</xdr:row>
      <xdr:rowOff>52893</xdr:rowOff>
    </xdr:to>
    <xdr:sp macro="[0]!Salvar_Estrategias" textlink="">
      <xdr:nvSpPr>
        <xdr:cNvPr id="7" name="Retângulo: Cantos Arredondados 2" title="Colar e Atualizar Lin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75413" y="72764"/>
          <a:ext cx="1440000" cy="313504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>
          <a:noAutofit/>
        </a:bodyPr>
        <a:lstStyle/>
        <a:p>
          <a:pPr algn="ctr"/>
          <a:r>
            <a:rPr lang="pt-BR" sz="1000"/>
            <a:t>SALVAR ESTRTÉGIAS</a:t>
          </a:r>
        </a:p>
      </xdr:txBody>
    </xdr:sp>
    <xdr:clientData/>
  </xdr:twoCellAnchor>
  <xdr:twoCellAnchor>
    <xdr:from>
      <xdr:col>0</xdr:col>
      <xdr:colOff>75406</xdr:colOff>
      <xdr:row>2</xdr:row>
      <xdr:rowOff>111115</xdr:rowOff>
    </xdr:from>
    <xdr:to>
      <xdr:col>1</xdr:col>
      <xdr:colOff>729593</xdr:colOff>
      <xdr:row>4</xdr:row>
      <xdr:rowOff>75256</xdr:rowOff>
    </xdr:to>
    <xdr:sp macro="[0]!btn_Colar_Link" textlink="">
      <xdr:nvSpPr>
        <xdr:cNvPr id="8" name="Retângulo: Cantos Arredondados 3" title="Colar e Atualizar Link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/>
        </xdr:cNvSpPr>
      </xdr:nvSpPr>
      <xdr:spPr>
        <a:xfrm>
          <a:off x="75406" y="444490"/>
          <a:ext cx="1440000" cy="297516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>
          <a:noAutofit/>
        </a:bodyPr>
        <a:lstStyle/>
        <a:p>
          <a:pPr algn="ctr"/>
          <a:r>
            <a:rPr lang="pt-BR" sz="1000"/>
            <a:t>COLAR</a:t>
          </a:r>
          <a:r>
            <a:rPr lang="pt-BR" sz="1000" baseline="0"/>
            <a:t> O LINK AQUI</a:t>
          </a:r>
          <a:endParaRPr lang="pt-BR" sz="1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23" displayName="Tabela223" ref="A4:T27" totalsRowShown="0" headerRowDxfId="33" dataDxfId="31" headerRowBorderDxfId="32" tableBorderDxfId="30" totalsRowBorderDxfId="29" dataCellStyle="Porcentagem">
  <autoFilter ref="A4:T27" xr:uid="{00000000-0009-0000-0100-000002000000}"/>
  <tableColumns count="20">
    <tableColumn id="1" xr3:uid="{00000000-0010-0000-0000-000001000000}" name="SEQUENCIA" dataDxfId="28"/>
    <tableColumn id="4" xr3:uid="{00000000-0010-0000-0000-000004000000}" name="CAMPEONATO" dataDxfId="27"/>
    <tableColumn id="27" xr3:uid="{00000000-0010-0000-0000-00001B000000}" name="HORÁRIO" dataDxfId="26"/>
    <tableColumn id="17" xr3:uid="{00000000-0010-0000-0000-000011000000}" name="POSIÇÃO TIME 1" dataDxfId="25"/>
    <tableColumn id="16" xr3:uid="{00000000-0010-0000-0000-000010000000}" name="POSIÇÃO TIME 2" dataDxfId="24"/>
    <tableColumn id="2" xr3:uid="{00000000-0010-0000-0000-000002000000}" name="CASA" dataDxfId="23"/>
    <tableColumn id="3" xr3:uid="{00000000-0010-0000-0000-000003000000}" name="FORA" dataDxfId="22"/>
    <tableColumn id="11" xr3:uid="{00000000-0010-0000-0000-00000B000000}" name="AMBAS - FT" dataDxfId="21" dataCellStyle="Porcentagem"/>
    <tableColumn id="8" xr3:uid="{00000000-0010-0000-0000-000008000000}" name="OVER 0,5 HT" dataDxfId="20" dataCellStyle="Porcentagem"/>
    <tableColumn id="10" xr3:uid="{00000000-0010-0000-0000-00000A000000}" name="OVER 2,5 FT" dataDxfId="19" dataCellStyle="Porcentagem"/>
    <tableColumn id="19" xr3:uid="{00000000-0010-0000-0000-000013000000}" name="CANTOS" dataDxfId="18" dataCellStyle="Porcentagem"/>
    <tableColumn id="23" xr3:uid="{00000000-0010-0000-0000-000017000000}" name="HT" dataDxfId="17" dataCellStyle="Porcentagem"/>
    <tableColumn id="5" xr3:uid="{00000000-0010-0000-0000-000005000000}" name="FT" dataDxfId="16" dataCellStyle="Porcentagem"/>
    <tableColumn id="22" xr3:uid="{00000000-0010-0000-0000-000016000000}" name="ATA CASA" dataDxfId="15" dataCellStyle="Porcentagem"/>
    <tableColumn id="18" xr3:uid="{00000000-0010-0000-0000-000012000000}" name="DEF FORA" dataDxfId="14" dataCellStyle="Porcentagem"/>
    <tableColumn id="21" xr3:uid="{00000000-0010-0000-0000-000015000000}" name="ATA FORA" dataDxfId="13" dataCellStyle="Porcentagem"/>
    <tableColumn id="20" xr3:uid="{00000000-0010-0000-0000-000014000000}" name="DEF CASA" dataDxfId="12" dataCellStyle="Porcentagem"/>
    <tableColumn id="14" xr3:uid="{00000000-0010-0000-0000-00000E000000}" name="CANTOS - ENTRE" dataDxfId="11" dataCellStyle="Porcentagem"/>
    <tableColumn id="13" xr3:uid="{00000000-0010-0000-0000-00000D000000}" name="CANTOS - CASA" dataDxfId="10" dataCellStyle="Porcentagem"/>
    <tableColumn id="12" xr3:uid="{00000000-0010-0000-0000-00000C000000}" name="CANTOS - FORA" dataDxfId="9" dataCellStyle="Porcentag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4:L1000"/>
  <sheetViews>
    <sheetView showGridLines="0" tabSelected="1" zoomScaleNormal="100" workbookViewId="0">
      <selection activeCell="C2" sqref="C2"/>
    </sheetView>
  </sheetViews>
  <sheetFormatPr defaultRowHeight="15" x14ac:dyDescent="0.25"/>
  <cols>
    <col min="1" max="1" width="18.140625" bestFit="1" customWidth="1"/>
    <col min="2" max="2" width="10.28515625" bestFit="1" customWidth="1"/>
    <col min="3" max="3" width="32.85546875" bestFit="1" customWidth="1"/>
    <col min="4" max="4" width="11.5703125" bestFit="1" customWidth="1"/>
    <col min="5" max="5" width="34.42578125" bestFit="1" customWidth="1"/>
    <col min="6" max="6" width="62.85546875" hidden="1" customWidth="1"/>
    <col min="7" max="7" width="13.42578125" bestFit="1" customWidth="1"/>
    <col min="8" max="8" width="9.28515625" customWidth="1"/>
    <col min="9" max="9" width="49.7109375" bestFit="1" customWidth="1"/>
  </cols>
  <sheetData>
    <row r="4" spans="1:12" ht="21" x14ac:dyDescent="0.35">
      <c r="A4" s="139" t="s">
        <v>82</v>
      </c>
      <c r="B4" s="139"/>
      <c r="C4" s="139"/>
      <c r="D4" s="139"/>
      <c r="E4" s="139"/>
      <c r="F4" s="139"/>
      <c r="G4" s="139"/>
      <c r="H4" s="89"/>
    </row>
    <row r="5" spans="1:12" ht="15.75" x14ac:dyDescent="0.25">
      <c r="A5" s="56" t="s">
        <v>271</v>
      </c>
      <c r="B5" s="56" t="s">
        <v>83</v>
      </c>
      <c r="C5" s="56" t="s">
        <v>84</v>
      </c>
      <c r="D5" s="56" t="s">
        <v>85</v>
      </c>
      <c r="E5" s="56" t="s">
        <v>86</v>
      </c>
      <c r="F5" s="56"/>
      <c r="G5" s="56" t="s">
        <v>280</v>
      </c>
      <c r="H5" s="89"/>
    </row>
    <row r="6" spans="1:12" x14ac:dyDescent="0.25">
      <c r="A6" s="57" t="s">
        <v>565</v>
      </c>
      <c r="B6" s="57" t="s">
        <v>566</v>
      </c>
      <c r="C6" s="57" t="s">
        <v>567</v>
      </c>
      <c r="D6" s="57" t="s">
        <v>1011</v>
      </c>
      <c r="E6" s="57" t="s">
        <v>569</v>
      </c>
      <c r="F6" s="57" t="s">
        <v>1199</v>
      </c>
      <c r="G6" s="78" t="s">
        <v>269</v>
      </c>
      <c r="H6" s="57"/>
      <c r="I6" s="57"/>
      <c r="J6" s="57"/>
      <c r="K6" s="57"/>
      <c r="L6" s="57"/>
    </row>
    <row r="7" spans="1:12" x14ac:dyDescent="0.25">
      <c r="A7" s="57" t="s">
        <v>570</v>
      </c>
      <c r="B7" s="57" t="s">
        <v>102</v>
      </c>
      <c r="C7" s="57" t="s">
        <v>571</v>
      </c>
      <c r="D7" s="57" t="s">
        <v>665</v>
      </c>
      <c r="E7" s="57" t="s">
        <v>573</v>
      </c>
      <c r="F7" s="57" t="s">
        <v>1200</v>
      </c>
      <c r="G7" s="78" t="s">
        <v>269</v>
      </c>
      <c r="H7" s="57"/>
      <c r="I7" s="57"/>
      <c r="J7" s="57"/>
      <c r="K7" s="57"/>
      <c r="L7" s="57"/>
    </row>
    <row r="8" spans="1:12" x14ac:dyDescent="0.25">
      <c r="A8" s="57" t="s">
        <v>450</v>
      </c>
      <c r="B8" s="57" t="s">
        <v>574</v>
      </c>
      <c r="C8" s="57" t="s">
        <v>575</v>
      </c>
      <c r="D8" s="57" t="s">
        <v>525</v>
      </c>
      <c r="E8" s="57" t="s">
        <v>576</v>
      </c>
      <c r="F8" s="57" t="s">
        <v>1200</v>
      </c>
      <c r="G8" s="78" t="s">
        <v>269</v>
      </c>
      <c r="H8" s="57"/>
      <c r="I8" s="57"/>
      <c r="J8" s="57"/>
      <c r="K8" s="57"/>
      <c r="L8" s="57"/>
    </row>
    <row r="9" spans="1:12" x14ac:dyDescent="0.25">
      <c r="A9" s="57" t="s">
        <v>577</v>
      </c>
      <c r="B9" s="57" t="s">
        <v>103</v>
      </c>
      <c r="C9" s="57" t="s">
        <v>578</v>
      </c>
      <c r="D9" s="57" t="s">
        <v>525</v>
      </c>
      <c r="E9" s="57" t="s">
        <v>579</v>
      </c>
      <c r="F9" s="57" t="s">
        <v>1201</v>
      </c>
      <c r="G9" s="78" t="s">
        <v>269</v>
      </c>
      <c r="H9" s="57"/>
      <c r="I9" s="57"/>
      <c r="J9" s="57"/>
      <c r="K9" s="57"/>
      <c r="L9" s="57"/>
    </row>
    <row r="10" spans="1:12" x14ac:dyDescent="0.25">
      <c r="A10" s="57" t="s">
        <v>561</v>
      </c>
      <c r="B10" s="57" t="s">
        <v>103</v>
      </c>
      <c r="C10" s="57" t="s">
        <v>562</v>
      </c>
      <c r="D10" s="57" t="s">
        <v>306</v>
      </c>
      <c r="E10" s="57" t="s">
        <v>563</v>
      </c>
      <c r="F10" s="57" t="s">
        <v>1202</v>
      </c>
      <c r="G10" s="78" t="s">
        <v>269</v>
      </c>
      <c r="H10" s="57"/>
      <c r="I10" s="57"/>
      <c r="J10" s="57"/>
      <c r="K10" s="57"/>
      <c r="L10" s="57"/>
    </row>
    <row r="11" spans="1:12" x14ac:dyDescent="0.25">
      <c r="A11" s="57" t="s">
        <v>580</v>
      </c>
      <c r="B11" s="57" t="s">
        <v>103</v>
      </c>
      <c r="C11" s="57" t="s">
        <v>581</v>
      </c>
      <c r="D11" s="57" t="s">
        <v>525</v>
      </c>
      <c r="E11" s="57" t="s">
        <v>582</v>
      </c>
      <c r="F11" s="57" t="s">
        <v>1200</v>
      </c>
      <c r="G11" s="78" t="s">
        <v>269</v>
      </c>
      <c r="H11" s="57"/>
      <c r="I11" s="57"/>
      <c r="J11" s="57"/>
      <c r="K11" s="57"/>
      <c r="L11" s="57"/>
    </row>
    <row r="12" spans="1:12" x14ac:dyDescent="0.25">
      <c r="A12" s="57" t="s">
        <v>324</v>
      </c>
      <c r="B12" s="57" t="s">
        <v>583</v>
      </c>
      <c r="C12" s="57" t="s">
        <v>584</v>
      </c>
      <c r="D12" s="57" t="s">
        <v>325</v>
      </c>
      <c r="E12" s="57" t="s">
        <v>585</v>
      </c>
      <c r="F12" s="57" t="s">
        <v>1203</v>
      </c>
      <c r="G12" s="78" t="s">
        <v>269</v>
      </c>
      <c r="H12" s="57"/>
      <c r="I12" s="57"/>
      <c r="J12" s="57"/>
      <c r="K12" s="57"/>
      <c r="L12" s="57"/>
    </row>
    <row r="13" spans="1:12" x14ac:dyDescent="0.25">
      <c r="A13" s="57" t="s">
        <v>565</v>
      </c>
      <c r="B13" s="57" t="s">
        <v>516</v>
      </c>
      <c r="C13" s="57" t="s">
        <v>586</v>
      </c>
      <c r="D13" s="57" t="s">
        <v>270</v>
      </c>
      <c r="E13" s="57" t="s">
        <v>587</v>
      </c>
      <c r="F13" s="57" t="s">
        <v>1204</v>
      </c>
      <c r="G13" s="78" t="s">
        <v>269</v>
      </c>
      <c r="H13" s="57"/>
      <c r="I13" s="57"/>
      <c r="J13" s="57"/>
      <c r="K13" s="57"/>
      <c r="L13" s="57"/>
    </row>
    <row r="14" spans="1:12" x14ac:dyDescent="0.25">
      <c r="A14" s="57" t="s">
        <v>588</v>
      </c>
      <c r="B14" s="57" t="s">
        <v>589</v>
      </c>
      <c r="C14" s="57" t="s">
        <v>590</v>
      </c>
      <c r="D14" s="57" t="s">
        <v>270</v>
      </c>
      <c r="E14" s="57" t="s">
        <v>591</v>
      </c>
      <c r="F14" s="57" t="s">
        <v>1205</v>
      </c>
      <c r="G14" s="78" t="s">
        <v>269</v>
      </c>
      <c r="H14" s="57"/>
      <c r="I14" s="57"/>
      <c r="J14" s="57"/>
      <c r="K14" s="57"/>
      <c r="L14" s="57"/>
    </row>
    <row r="15" spans="1:12" x14ac:dyDescent="0.25">
      <c r="A15" s="57" t="s">
        <v>588</v>
      </c>
      <c r="B15" s="57" t="s">
        <v>589</v>
      </c>
      <c r="C15" s="57" t="s">
        <v>592</v>
      </c>
      <c r="D15" s="57" t="s">
        <v>270</v>
      </c>
      <c r="E15" s="57" t="s">
        <v>593</v>
      </c>
      <c r="F15" s="57" t="s">
        <v>1200</v>
      </c>
      <c r="G15" s="78" t="s">
        <v>269</v>
      </c>
      <c r="H15" s="57"/>
      <c r="I15" s="57"/>
      <c r="J15" s="57"/>
      <c r="K15" s="57"/>
      <c r="L15" s="57"/>
    </row>
    <row r="16" spans="1:12" x14ac:dyDescent="0.25">
      <c r="A16" s="57" t="s">
        <v>594</v>
      </c>
      <c r="B16" s="57" t="s">
        <v>304</v>
      </c>
      <c r="C16" s="57" t="s">
        <v>595</v>
      </c>
      <c r="D16" s="57" t="s">
        <v>270</v>
      </c>
      <c r="E16" s="57" t="s">
        <v>596</v>
      </c>
      <c r="F16" s="57" t="s">
        <v>1206</v>
      </c>
      <c r="G16" s="78" t="s">
        <v>269</v>
      </c>
      <c r="H16" s="57"/>
      <c r="I16" s="57"/>
      <c r="J16" s="57"/>
      <c r="K16" s="57"/>
      <c r="L16" s="57"/>
    </row>
    <row r="17" spans="1:12" x14ac:dyDescent="0.25">
      <c r="A17" s="57" t="s">
        <v>442</v>
      </c>
      <c r="B17" s="57" t="s">
        <v>304</v>
      </c>
      <c r="C17" s="57" t="s">
        <v>443</v>
      </c>
      <c r="D17" s="57" t="s">
        <v>270</v>
      </c>
      <c r="E17" s="57" t="s">
        <v>597</v>
      </c>
      <c r="F17" s="57" t="s">
        <v>1200</v>
      </c>
      <c r="G17" s="78" t="s">
        <v>269</v>
      </c>
      <c r="H17" s="57"/>
      <c r="I17" s="57"/>
      <c r="J17" s="57"/>
      <c r="K17" s="57"/>
      <c r="L17" s="57"/>
    </row>
    <row r="18" spans="1:12" x14ac:dyDescent="0.25">
      <c r="A18" s="57" t="s">
        <v>598</v>
      </c>
      <c r="B18" s="57" t="s">
        <v>321</v>
      </c>
      <c r="C18" s="57" t="s">
        <v>599</v>
      </c>
      <c r="D18" s="57" t="s">
        <v>270</v>
      </c>
      <c r="E18" s="57" t="s">
        <v>600</v>
      </c>
      <c r="F18" s="57" t="s">
        <v>1200</v>
      </c>
      <c r="G18" s="78" t="s">
        <v>269</v>
      </c>
      <c r="H18" s="57"/>
      <c r="I18" s="57"/>
      <c r="J18" s="57"/>
      <c r="K18" s="57"/>
      <c r="L18" s="57"/>
    </row>
    <row r="19" spans="1:12" x14ac:dyDescent="0.25">
      <c r="A19" s="57" t="s">
        <v>601</v>
      </c>
      <c r="B19" s="57" t="s">
        <v>305</v>
      </c>
      <c r="C19" s="57" t="s">
        <v>602</v>
      </c>
      <c r="D19" s="57" t="s">
        <v>270</v>
      </c>
      <c r="E19" s="57" t="s">
        <v>603</v>
      </c>
      <c r="F19" s="57" t="s">
        <v>1200</v>
      </c>
      <c r="G19" s="78" t="s">
        <v>269</v>
      </c>
      <c r="H19" s="57"/>
      <c r="I19" s="57"/>
      <c r="J19" s="57"/>
      <c r="K19" s="57"/>
      <c r="L19" s="57"/>
    </row>
    <row r="20" spans="1:12" x14ac:dyDescent="0.25">
      <c r="A20" s="57" t="s">
        <v>365</v>
      </c>
      <c r="B20" s="57" t="s">
        <v>444</v>
      </c>
      <c r="C20" s="57" t="s">
        <v>419</v>
      </c>
      <c r="D20" s="57" t="s">
        <v>270</v>
      </c>
      <c r="E20" s="57" t="s">
        <v>420</v>
      </c>
      <c r="F20" s="57" t="s">
        <v>1428</v>
      </c>
      <c r="G20" s="78" t="s">
        <v>269</v>
      </c>
      <c r="H20" s="57"/>
      <c r="I20" s="57"/>
      <c r="J20" s="57"/>
      <c r="K20" s="57"/>
      <c r="L20" s="57"/>
    </row>
    <row r="21" spans="1:12" x14ac:dyDescent="0.25">
      <c r="A21" s="57" t="s">
        <v>1417</v>
      </c>
      <c r="B21" s="57" t="s">
        <v>1418</v>
      </c>
      <c r="C21" s="57" t="s">
        <v>1419</v>
      </c>
      <c r="D21" s="57" t="s">
        <v>270</v>
      </c>
      <c r="E21" s="57" t="s">
        <v>1420</v>
      </c>
      <c r="F21" s="57" t="s">
        <v>1200</v>
      </c>
      <c r="G21" s="78" t="s">
        <v>269</v>
      </c>
      <c r="H21" s="57"/>
      <c r="I21" s="57"/>
      <c r="J21" s="57"/>
      <c r="K21" s="57"/>
      <c r="L21" s="57"/>
    </row>
    <row r="22" spans="1:12" x14ac:dyDescent="0.25">
      <c r="A22" s="57" t="s">
        <v>368</v>
      </c>
      <c r="B22" s="57" t="s">
        <v>369</v>
      </c>
      <c r="C22" s="57" t="s">
        <v>370</v>
      </c>
      <c r="D22" s="57" t="s">
        <v>270</v>
      </c>
      <c r="E22" s="57" t="s">
        <v>374</v>
      </c>
      <c r="F22" s="57" t="s">
        <v>1429</v>
      </c>
      <c r="G22" s="78" t="s">
        <v>269</v>
      </c>
      <c r="H22" s="57"/>
      <c r="I22" s="57"/>
      <c r="J22" s="57"/>
      <c r="K22" s="57"/>
      <c r="L22" s="57"/>
    </row>
    <row r="23" spans="1:12" x14ac:dyDescent="0.25">
      <c r="A23" s="57" t="s">
        <v>368</v>
      </c>
      <c r="B23" s="57" t="s">
        <v>369</v>
      </c>
      <c r="C23" s="57" t="s">
        <v>1421</v>
      </c>
      <c r="D23" s="57" t="s">
        <v>270</v>
      </c>
      <c r="E23" s="57" t="s">
        <v>451</v>
      </c>
      <c r="F23" s="57" t="s">
        <v>1430</v>
      </c>
      <c r="G23" s="78" t="s">
        <v>269</v>
      </c>
      <c r="H23" s="57"/>
      <c r="I23" s="57"/>
      <c r="J23" s="57"/>
      <c r="K23" s="57"/>
      <c r="L23" s="57"/>
    </row>
    <row r="24" spans="1:12" x14ac:dyDescent="0.25">
      <c r="A24" s="57" t="s">
        <v>368</v>
      </c>
      <c r="B24" s="57" t="s">
        <v>369</v>
      </c>
      <c r="C24" s="57" t="s">
        <v>372</v>
      </c>
      <c r="D24" s="57" t="s">
        <v>270</v>
      </c>
      <c r="E24" s="57" t="s">
        <v>395</v>
      </c>
      <c r="F24" s="57" t="s">
        <v>1431</v>
      </c>
      <c r="G24" s="78" t="s">
        <v>269</v>
      </c>
      <c r="H24" s="57"/>
      <c r="I24" s="57"/>
      <c r="J24" s="57"/>
      <c r="K24" s="57"/>
      <c r="L24" s="57"/>
    </row>
    <row r="25" spans="1:12" x14ac:dyDescent="0.25">
      <c r="A25" s="57" t="s">
        <v>368</v>
      </c>
      <c r="B25" s="57" t="s">
        <v>369</v>
      </c>
      <c r="C25" s="57" t="s">
        <v>449</v>
      </c>
      <c r="D25" s="57" t="s">
        <v>270</v>
      </c>
      <c r="E25" s="57" t="s">
        <v>375</v>
      </c>
      <c r="F25" s="57" t="s">
        <v>1432</v>
      </c>
      <c r="G25" s="78" t="s">
        <v>269</v>
      </c>
      <c r="H25" s="57"/>
      <c r="I25" s="57"/>
      <c r="J25" s="57"/>
      <c r="K25" s="57"/>
      <c r="L25" s="57"/>
    </row>
    <row r="26" spans="1:12" x14ac:dyDescent="0.25">
      <c r="A26" s="57" t="s">
        <v>368</v>
      </c>
      <c r="B26" s="57" t="s">
        <v>369</v>
      </c>
      <c r="C26" s="57" t="s">
        <v>448</v>
      </c>
      <c r="D26" s="57" t="s">
        <v>270</v>
      </c>
      <c r="E26" s="57" t="s">
        <v>447</v>
      </c>
      <c r="F26" s="57" t="s">
        <v>1433</v>
      </c>
      <c r="G26" s="78" t="s">
        <v>269</v>
      </c>
      <c r="H26" s="57"/>
      <c r="I26" s="57"/>
      <c r="J26" s="57"/>
      <c r="K26" s="57"/>
      <c r="L26" s="57"/>
    </row>
    <row r="27" spans="1:12" x14ac:dyDescent="0.25">
      <c r="A27" s="57" t="s">
        <v>368</v>
      </c>
      <c r="B27" s="57" t="s">
        <v>369</v>
      </c>
      <c r="C27" s="57" t="s">
        <v>445</v>
      </c>
      <c r="D27" s="57" t="s">
        <v>270</v>
      </c>
      <c r="E27" s="57" t="s">
        <v>426</v>
      </c>
      <c r="F27" s="57" t="s">
        <v>1434</v>
      </c>
      <c r="G27" s="78" t="s">
        <v>269</v>
      </c>
      <c r="H27" s="57"/>
      <c r="I27" s="57"/>
      <c r="J27" s="57"/>
      <c r="K27" s="57"/>
      <c r="L27" s="57"/>
    </row>
    <row r="28" spans="1:12" x14ac:dyDescent="0.25">
      <c r="A28" s="57" t="s">
        <v>368</v>
      </c>
      <c r="B28" s="57" t="s">
        <v>369</v>
      </c>
      <c r="C28" s="57" t="s">
        <v>446</v>
      </c>
      <c r="D28" s="57" t="s">
        <v>270</v>
      </c>
      <c r="E28" s="57" t="s">
        <v>396</v>
      </c>
      <c r="F28" s="57" t="s">
        <v>1435</v>
      </c>
      <c r="G28" s="78" t="s">
        <v>269</v>
      </c>
      <c r="H28" s="57"/>
      <c r="I28" s="57"/>
      <c r="J28" s="57"/>
      <c r="K28" s="57"/>
      <c r="L28" s="57"/>
    </row>
    <row r="29" spans="1:12" x14ac:dyDescent="0.25">
      <c r="A29" s="57" t="s">
        <v>368</v>
      </c>
      <c r="B29" s="57" t="s">
        <v>369</v>
      </c>
      <c r="C29" s="57" t="s">
        <v>371</v>
      </c>
      <c r="D29" s="57" t="s">
        <v>270</v>
      </c>
      <c r="E29" s="57" t="s">
        <v>1422</v>
      </c>
      <c r="F29" s="57" t="s">
        <v>1436</v>
      </c>
      <c r="G29" s="78" t="s">
        <v>269</v>
      </c>
      <c r="H29" s="57"/>
      <c r="I29" s="57"/>
      <c r="J29" s="57"/>
      <c r="K29" s="57"/>
      <c r="L29" s="57"/>
    </row>
    <row r="30" spans="1:12" x14ac:dyDescent="0.25">
      <c r="A30" s="57" t="s">
        <v>368</v>
      </c>
      <c r="B30" s="57" t="s">
        <v>369</v>
      </c>
      <c r="C30" s="57" t="s">
        <v>373</v>
      </c>
      <c r="D30" s="57" t="s">
        <v>270</v>
      </c>
      <c r="E30" s="57" t="s">
        <v>377</v>
      </c>
      <c r="F30" s="57" t="s">
        <v>1437</v>
      </c>
      <c r="G30" s="78" t="s">
        <v>269</v>
      </c>
      <c r="H30" s="57"/>
      <c r="I30" s="57"/>
      <c r="J30" s="57"/>
      <c r="K30" s="57"/>
      <c r="L30" s="57"/>
    </row>
    <row r="31" spans="1:12" x14ac:dyDescent="0.25">
      <c r="A31" s="57" t="s">
        <v>1423</v>
      </c>
      <c r="B31" s="57" t="s">
        <v>369</v>
      </c>
      <c r="C31" s="57" t="s">
        <v>1424</v>
      </c>
      <c r="D31" s="57" t="s">
        <v>270</v>
      </c>
      <c r="E31" s="57" t="s">
        <v>1425</v>
      </c>
      <c r="F31" s="57" t="s">
        <v>1438</v>
      </c>
      <c r="G31" s="78" t="s">
        <v>269</v>
      </c>
      <c r="H31" s="57"/>
      <c r="I31" s="57"/>
      <c r="J31" s="57"/>
      <c r="K31" s="57"/>
      <c r="L31" s="57"/>
    </row>
    <row r="32" spans="1:12" x14ac:dyDescent="0.25">
      <c r="A32" s="57" t="s">
        <v>725</v>
      </c>
      <c r="B32" s="57" t="s">
        <v>369</v>
      </c>
      <c r="C32" s="57" t="s">
        <v>1426</v>
      </c>
      <c r="D32" s="57" t="s">
        <v>270</v>
      </c>
      <c r="E32" s="57" t="s">
        <v>1427</v>
      </c>
      <c r="F32" s="57" t="s">
        <v>1200</v>
      </c>
      <c r="G32" s="78" t="s">
        <v>269</v>
      </c>
      <c r="H32" s="57"/>
      <c r="I32" s="57"/>
      <c r="J32" s="57"/>
      <c r="K32" s="57"/>
      <c r="L32" s="57"/>
    </row>
    <row r="33" spans="1:12" x14ac:dyDescent="0.25">
      <c r="A33" s="57" t="s">
        <v>570</v>
      </c>
      <c r="B33" s="57" t="s">
        <v>103</v>
      </c>
      <c r="C33" s="57" t="s">
        <v>604</v>
      </c>
      <c r="D33" s="57" t="s">
        <v>605</v>
      </c>
      <c r="E33" s="57" t="s">
        <v>606</v>
      </c>
      <c r="F33" s="57" t="s">
        <v>1200</v>
      </c>
      <c r="G33" s="78" t="s">
        <v>269</v>
      </c>
      <c r="H33" s="57"/>
      <c r="I33" s="57"/>
      <c r="J33" s="57"/>
      <c r="K33" s="57"/>
      <c r="L33" s="57"/>
    </row>
    <row r="34" spans="1:12" x14ac:dyDescent="0.25">
      <c r="A34" s="57" t="s">
        <v>607</v>
      </c>
      <c r="B34" s="57" t="s">
        <v>103</v>
      </c>
      <c r="C34" s="57" t="s">
        <v>608</v>
      </c>
      <c r="D34" s="57" t="s">
        <v>609</v>
      </c>
      <c r="E34" s="57" t="s">
        <v>610</v>
      </c>
      <c r="F34" s="57" t="s">
        <v>1200</v>
      </c>
      <c r="G34" s="78" t="s">
        <v>269</v>
      </c>
      <c r="H34" s="57"/>
      <c r="I34" s="57"/>
      <c r="J34" s="57"/>
      <c r="K34" s="57"/>
      <c r="L34" s="57"/>
    </row>
    <row r="35" spans="1:12" x14ac:dyDescent="0.25">
      <c r="A35" s="57" t="s">
        <v>418</v>
      </c>
      <c r="B35" s="57" t="s">
        <v>516</v>
      </c>
      <c r="C35" s="57" t="s">
        <v>514</v>
      </c>
      <c r="D35" s="57" t="s">
        <v>611</v>
      </c>
      <c r="E35" s="57" t="s">
        <v>100</v>
      </c>
      <c r="F35" s="57" t="s">
        <v>1207</v>
      </c>
      <c r="G35" s="78" t="s">
        <v>269</v>
      </c>
      <c r="H35" s="57"/>
      <c r="I35" s="57"/>
      <c r="J35" s="57"/>
      <c r="K35" s="57"/>
      <c r="L35" s="57"/>
    </row>
    <row r="36" spans="1:12" x14ac:dyDescent="0.25">
      <c r="A36" s="57" t="s">
        <v>418</v>
      </c>
      <c r="B36" s="57" t="s">
        <v>516</v>
      </c>
      <c r="C36" s="57" t="s">
        <v>612</v>
      </c>
      <c r="D36" s="57" t="s">
        <v>613</v>
      </c>
      <c r="E36" s="57" t="s">
        <v>614</v>
      </c>
      <c r="F36" s="57" t="s">
        <v>1208</v>
      </c>
      <c r="G36" s="78" t="s">
        <v>269</v>
      </c>
      <c r="H36" s="57"/>
      <c r="I36" s="57"/>
      <c r="J36" s="57"/>
      <c r="K36" s="57"/>
      <c r="L36" s="57"/>
    </row>
    <row r="37" spans="1:12" x14ac:dyDescent="0.25">
      <c r="A37" s="57" t="s">
        <v>615</v>
      </c>
      <c r="B37" s="57" t="s">
        <v>304</v>
      </c>
      <c r="C37" s="57" t="s">
        <v>616</v>
      </c>
      <c r="D37" s="57" t="s">
        <v>525</v>
      </c>
      <c r="E37" s="57" t="s">
        <v>617</v>
      </c>
      <c r="F37" s="57" t="s">
        <v>1209</v>
      </c>
      <c r="G37" s="78" t="s">
        <v>269</v>
      </c>
      <c r="H37" s="57"/>
      <c r="I37" s="57"/>
      <c r="J37" s="57"/>
      <c r="K37" s="57"/>
      <c r="L37" s="57"/>
    </row>
    <row r="38" spans="1:12" x14ac:dyDescent="0.25">
      <c r="A38" s="57" t="s">
        <v>618</v>
      </c>
      <c r="B38" s="57" t="s">
        <v>304</v>
      </c>
      <c r="C38" s="57" t="s">
        <v>619</v>
      </c>
      <c r="D38" s="57" t="s">
        <v>613</v>
      </c>
      <c r="E38" s="57" t="s">
        <v>620</v>
      </c>
      <c r="F38" s="57" t="s">
        <v>1200</v>
      </c>
      <c r="G38" s="78" t="s">
        <v>269</v>
      </c>
      <c r="H38" s="57"/>
      <c r="I38" s="57"/>
      <c r="J38" s="57"/>
      <c r="K38" s="57"/>
      <c r="L38" s="57"/>
    </row>
    <row r="39" spans="1:12" x14ac:dyDescent="0.25">
      <c r="A39" s="57" t="s">
        <v>621</v>
      </c>
      <c r="B39" s="57" t="s">
        <v>622</v>
      </c>
      <c r="C39" s="57" t="s">
        <v>623</v>
      </c>
      <c r="D39" s="57" t="s">
        <v>306</v>
      </c>
      <c r="E39" s="57" t="s">
        <v>624</v>
      </c>
      <c r="F39" s="57" t="s">
        <v>1210</v>
      </c>
      <c r="G39" s="78" t="s">
        <v>269</v>
      </c>
      <c r="H39" s="57"/>
      <c r="I39" s="57"/>
      <c r="J39" s="57"/>
      <c r="K39" s="57"/>
      <c r="L39" s="57"/>
    </row>
    <row r="40" spans="1:12" x14ac:dyDescent="0.25">
      <c r="A40" s="57" t="s">
        <v>625</v>
      </c>
      <c r="B40" s="57" t="s">
        <v>444</v>
      </c>
      <c r="C40" s="57" t="s">
        <v>394</v>
      </c>
      <c r="D40" s="57" t="s">
        <v>626</v>
      </c>
      <c r="E40" s="57" t="s">
        <v>627</v>
      </c>
      <c r="F40" s="57" t="s">
        <v>1211</v>
      </c>
      <c r="G40" s="78" t="s">
        <v>269</v>
      </c>
      <c r="H40" s="57"/>
      <c r="I40" s="57"/>
      <c r="J40" s="57"/>
      <c r="K40" s="57"/>
      <c r="L40" s="57"/>
    </row>
    <row r="41" spans="1:12" x14ac:dyDescent="0.25">
      <c r="A41" s="57" t="s">
        <v>628</v>
      </c>
      <c r="B41" s="57" t="s">
        <v>629</v>
      </c>
      <c r="C41" s="57" t="s">
        <v>630</v>
      </c>
      <c r="D41" s="57" t="s">
        <v>609</v>
      </c>
      <c r="E41" s="57" t="s">
        <v>631</v>
      </c>
      <c r="F41" s="57" t="s">
        <v>1200</v>
      </c>
      <c r="G41" s="78" t="s">
        <v>269</v>
      </c>
      <c r="H41" s="57"/>
      <c r="I41" s="57"/>
      <c r="J41" s="57"/>
      <c r="K41" s="57"/>
      <c r="L41" s="57"/>
    </row>
    <row r="42" spans="1:12" x14ac:dyDescent="0.25">
      <c r="A42" s="57" t="s">
        <v>453</v>
      </c>
      <c r="B42" s="57" t="s">
        <v>632</v>
      </c>
      <c r="C42" s="57" t="s">
        <v>455</v>
      </c>
      <c r="D42" s="57" t="s">
        <v>633</v>
      </c>
      <c r="E42" s="57" t="s">
        <v>458</v>
      </c>
      <c r="F42" s="57" t="s">
        <v>1200</v>
      </c>
      <c r="G42" s="78" t="s">
        <v>269</v>
      </c>
      <c r="H42" s="57"/>
      <c r="I42" s="57"/>
      <c r="J42" s="57"/>
      <c r="K42" s="57"/>
      <c r="L42" s="57"/>
    </row>
    <row r="43" spans="1:12" x14ac:dyDescent="0.25">
      <c r="A43" s="57" t="s">
        <v>376</v>
      </c>
      <c r="B43" s="57" t="s">
        <v>452</v>
      </c>
      <c r="C43" s="57" t="s">
        <v>634</v>
      </c>
      <c r="D43" s="57" t="s">
        <v>613</v>
      </c>
      <c r="E43" s="57" t="s">
        <v>397</v>
      </c>
      <c r="F43" s="57" t="s">
        <v>1212</v>
      </c>
      <c r="G43" s="78" t="s">
        <v>269</v>
      </c>
      <c r="H43" s="57"/>
      <c r="I43" s="57"/>
      <c r="J43" s="57"/>
      <c r="K43" s="57"/>
      <c r="L43" s="57"/>
    </row>
    <row r="44" spans="1:12" x14ac:dyDescent="0.25">
      <c r="A44" s="57" t="s">
        <v>635</v>
      </c>
      <c r="B44" s="57" t="s">
        <v>452</v>
      </c>
      <c r="C44" s="57" t="s">
        <v>636</v>
      </c>
      <c r="D44" s="57" t="s">
        <v>523</v>
      </c>
      <c r="E44" s="57" t="s">
        <v>637</v>
      </c>
      <c r="F44" s="57" t="s">
        <v>1213</v>
      </c>
      <c r="G44" s="78" t="s">
        <v>269</v>
      </c>
      <c r="H44" s="57"/>
      <c r="I44" s="57"/>
      <c r="J44" s="57"/>
      <c r="K44" s="57"/>
      <c r="L44" s="57"/>
    </row>
    <row r="45" spans="1:12" x14ac:dyDescent="0.25">
      <c r="A45" s="57" t="s">
        <v>310</v>
      </c>
      <c r="B45" s="57" t="s">
        <v>452</v>
      </c>
      <c r="C45" s="57" t="s">
        <v>638</v>
      </c>
      <c r="D45" s="57" t="s">
        <v>639</v>
      </c>
      <c r="E45" s="57" t="s">
        <v>640</v>
      </c>
      <c r="F45" s="57" t="s">
        <v>1214</v>
      </c>
      <c r="G45" s="78" t="s">
        <v>269</v>
      </c>
      <c r="H45" s="57"/>
      <c r="I45" s="57"/>
      <c r="J45" s="57"/>
      <c r="K45" s="57"/>
      <c r="L45" s="57"/>
    </row>
    <row r="46" spans="1:12" x14ac:dyDescent="0.25">
      <c r="A46" s="57" t="s">
        <v>641</v>
      </c>
      <c r="B46" s="57" t="s">
        <v>452</v>
      </c>
      <c r="C46" s="57" t="s">
        <v>642</v>
      </c>
      <c r="D46" s="57" t="s">
        <v>626</v>
      </c>
      <c r="E46" s="57" t="s">
        <v>643</v>
      </c>
      <c r="F46" s="57" t="s">
        <v>1215</v>
      </c>
      <c r="G46" s="78" t="s">
        <v>269</v>
      </c>
      <c r="H46" s="57"/>
      <c r="I46" s="57"/>
      <c r="J46" s="57"/>
      <c r="K46" s="57"/>
      <c r="L46" s="57"/>
    </row>
    <row r="47" spans="1:12" x14ac:dyDescent="0.25">
      <c r="A47" s="57" t="s">
        <v>641</v>
      </c>
      <c r="B47" s="57" t="s">
        <v>452</v>
      </c>
      <c r="C47" s="57" t="s">
        <v>644</v>
      </c>
      <c r="D47" s="57" t="s">
        <v>645</v>
      </c>
      <c r="E47" s="57" t="s">
        <v>646</v>
      </c>
      <c r="F47" s="57" t="s">
        <v>1216</v>
      </c>
      <c r="G47" s="78" t="s">
        <v>269</v>
      </c>
      <c r="H47" s="57"/>
      <c r="I47" s="57"/>
      <c r="J47" s="57"/>
      <c r="K47" s="57"/>
      <c r="L47" s="57"/>
    </row>
    <row r="48" spans="1:12" x14ac:dyDescent="0.25">
      <c r="A48" s="57" t="s">
        <v>647</v>
      </c>
      <c r="B48" s="57" t="s">
        <v>398</v>
      </c>
      <c r="C48" s="57" t="s">
        <v>648</v>
      </c>
      <c r="D48" s="57" t="s">
        <v>523</v>
      </c>
      <c r="E48" s="57" t="s">
        <v>649</v>
      </c>
      <c r="F48" s="57" t="s">
        <v>1200</v>
      </c>
      <c r="G48" s="78" t="s">
        <v>269</v>
      </c>
      <c r="H48" s="57"/>
      <c r="I48" s="57"/>
      <c r="J48" s="57"/>
      <c r="K48" s="57"/>
      <c r="L48" s="57"/>
    </row>
    <row r="49" spans="1:12" x14ac:dyDescent="0.25">
      <c r="A49" s="57" t="s">
        <v>641</v>
      </c>
      <c r="B49" s="57" t="s">
        <v>292</v>
      </c>
      <c r="C49" s="57" t="s">
        <v>650</v>
      </c>
      <c r="D49" s="57" t="s">
        <v>525</v>
      </c>
      <c r="E49" s="57" t="s">
        <v>651</v>
      </c>
      <c r="F49" s="57" t="s">
        <v>1200</v>
      </c>
      <c r="G49" s="78" t="s">
        <v>269</v>
      </c>
      <c r="H49" s="57"/>
      <c r="I49" s="57"/>
      <c r="J49" s="57"/>
      <c r="K49" s="57"/>
      <c r="L49" s="57"/>
    </row>
    <row r="50" spans="1:12" x14ac:dyDescent="0.25">
      <c r="A50" s="57" t="s">
        <v>641</v>
      </c>
      <c r="B50" s="57" t="s">
        <v>652</v>
      </c>
      <c r="C50" s="57" t="s">
        <v>653</v>
      </c>
      <c r="D50" s="57" t="s">
        <v>322</v>
      </c>
      <c r="E50" s="57" t="s">
        <v>654</v>
      </c>
      <c r="F50" s="57" t="s">
        <v>1217</v>
      </c>
      <c r="G50" s="78" t="s">
        <v>269</v>
      </c>
      <c r="H50" s="57"/>
      <c r="I50" s="57"/>
      <c r="J50" s="57"/>
      <c r="K50" s="57"/>
      <c r="L50" s="57"/>
    </row>
    <row r="51" spans="1:12" x14ac:dyDescent="0.25">
      <c r="A51" s="57" t="s">
        <v>647</v>
      </c>
      <c r="B51" s="57" t="s">
        <v>293</v>
      </c>
      <c r="C51" s="57" t="s">
        <v>655</v>
      </c>
      <c r="D51" s="57" t="s">
        <v>626</v>
      </c>
      <c r="E51" s="57" t="s">
        <v>656</v>
      </c>
      <c r="F51" s="57" t="s">
        <v>1200</v>
      </c>
      <c r="G51" s="78" t="s">
        <v>269</v>
      </c>
      <c r="H51" s="57"/>
      <c r="I51" s="57"/>
      <c r="J51" s="57"/>
      <c r="K51" s="57"/>
      <c r="L51" s="57"/>
    </row>
    <row r="52" spans="1:12" x14ac:dyDescent="0.25">
      <c r="A52" s="57" t="s">
        <v>657</v>
      </c>
      <c r="B52" s="57" t="s">
        <v>293</v>
      </c>
      <c r="C52" s="57" t="s">
        <v>658</v>
      </c>
      <c r="D52" s="57" t="s">
        <v>645</v>
      </c>
      <c r="E52" s="57" t="s">
        <v>659</v>
      </c>
      <c r="F52" s="57" t="s">
        <v>1218</v>
      </c>
      <c r="G52" s="78" t="s">
        <v>269</v>
      </c>
      <c r="H52" s="57"/>
      <c r="I52" s="57"/>
      <c r="J52" s="57"/>
      <c r="K52" s="57"/>
      <c r="L52" s="57"/>
    </row>
    <row r="53" spans="1:12" x14ac:dyDescent="0.25">
      <c r="A53" s="57" t="s">
        <v>660</v>
      </c>
      <c r="B53" s="57" t="s">
        <v>293</v>
      </c>
      <c r="C53" s="57" t="s">
        <v>661</v>
      </c>
      <c r="D53" s="57" t="s">
        <v>662</v>
      </c>
      <c r="E53" s="57" t="s">
        <v>663</v>
      </c>
      <c r="F53" s="57" t="s">
        <v>1200</v>
      </c>
      <c r="G53" s="78" t="s">
        <v>269</v>
      </c>
      <c r="H53" s="57"/>
      <c r="I53" s="57"/>
      <c r="J53" s="57"/>
      <c r="K53" s="57"/>
      <c r="L53" s="57"/>
    </row>
    <row r="54" spans="1:12" x14ac:dyDescent="0.25">
      <c r="A54" s="57" t="s">
        <v>660</v>
      </c>
      <c r="B54" s="57" t="s">
        <v>293</v>
      </c>
      <c r="C54" s="57" t="s">
        <v>664</v>
      </c>
      <c r="D54" s="57" t="s">
        <v>665</v>
      </c>
      <c r="E54" s="57" t="s">
        <v>666</v>
      </c>
      <c r="F54" s="57" t="s">
        <v>1219</v>
      </c>
      <c r="G54" s="78" t="s">
        <v>269</v>
      </c>
      <c r="H54" s="57"/>
      <c r="I54" s="57"/>
      <c r="J54" s="57"/>
      <c r="K54" s="57"/>
      <c r="L54" s="57"/>
    </row>
    <row r="55" spans="1:12" x14ac:dyDescent="0.25">
      <c r="A55" s="57" t="s">
        <v>660</v>
      </c>
      <c r="B55" s="57" t="s">
        <v>293</v>
      </c>
      <c r="C55" s="57" t="s">
        <v>667</v>
      </c>
      <c r="D55" s="57" t="s">
        <v>645</v>
      </c>
      <c r="E55" s="57" t="s">
        <v>668</v>
      </c>
      <c r="F55" s="57" t="s">
        <v>1220</v>
      </c>
      <c r="G55" s="78" t="s">
        <v>269</v>
      </c>
      <c r="H55" s="57"/>
      <c r="I55" s="57"/>
      <c r="J55" s="57"/>
      <c r="K55" s="57"/>
      <c r="L55" s="57"/>
    </row>
    <row r="56" spans="1:12" x14ac:dyDescent="0.25">
      <c r="A56" s="57" t="s">
        <v>669</v>
      </c>
      <c r="B56" s="57" t="s">
        <v>293</v>
      </c>
      <c r="C56" s="57" t="s">
        <v>670</v>
      </c>
      <c r="D56" s="57" t="s">
        <v>523</v>
      </c>
      <c r="E56" s="57" t="s">
        <v>671</v>
      </c>
      <c r="F56" s="57" t="s">
        <v>1221</v>
      </c>
      <c r="G56" s="78" t="s">
        <v>269</v>
      </c>
      <c r="H56" s="57"/>
      <c r="I56" s="57"/>
      <c r="J56" s="57"/>
      <c r="K56" s="57"/>
      <c r="L56" s="57"/>
    </row>
    <row r="57" spans="1:12" x14ac:dyDescent="0.25">
      <c r="A57" s="57" t="s">
        <v>672</v>
      </c>
      <c r="B57" s="57" t="s">
        <v>293</v>
      </c>
      <c r="C57" s="57" t="s">
        <v>673</v>
      </c>
      <c r="D57" s="57" t="s">
        <v>525</v>
      </c>
      <c r="E57" s="57" t="s">
        <v>674</v>
      </c>
      <c r="F57" s="57" t="s">
        <v>1200</v>
      </c>
      <c r="G57" s="78" t="s">
        <v>269</v>
      </c>
      <c r="H57" s="57"/>
      <c r="I57" s="57"/>
      <c r="J57" s="57"/>
      <c r="K57" s="57"/>
      <c r="L57" s="57"/>
    </row>
    <row r="58" spans="1:12" x14ac:dyDescent="0.25">
      <c r="A58" s="57" t="s">
        <v>641</v>
      </c>
      <c r="B58" s="57" t="s">
        <v>293</v>
      </c>
      <c r="C58" s="57" t="s">
        <v>675</v>
      </c>
      <c r="D58" s="57" t="s">
        <v>665</v>
      </c>
      <c r="E58" s="57" t="s">
        <v>676</v>
      </c>
      <c r="F58" s="57" t="s">
        <v>1222</v>
      </c>
      <c r="G58" s="78" t="s">
        <v>269</v>
      </c>
      <c r="H58" s="57"/>
      <c r="I58" s="57"/>
      <c r="J58" s="57"/>
      <c r="K58" s="57"/>
      <c r="L58" s="57"/>
    </row>
    <row r="59" spans="1:12" x14ac:dyDescent="0.25">
      <c r="A59" s="57" t="s">
        <v>641</v>
      </c>
      <c r="B59" s="57" t="s">
        <v>293</v>
      </c>
      <c r="C59" s="57" t="s">
        <v>677</v>
      </c>
      <c r="D59" s="57" t="s">
        <v>645</v>
      </c>
      <c r="E59" s="57" t="s">
        <v>678</v>
      </c>
      <c r="F59" s="57" t="s">
        <v>1223</v>
      </c>
      <c r="G59" s="78" t="s">
        <v>269</v>
      </c>
      <c r="H59" s="57"/>
      <c r="I59" s="57"/>
      <c r="J59" s="57"/>
      <c r="K59" s="57"/>
      <c r="L59" s="57"/>
    </row>
    <row r="60" spans="1:12" x14ac:dyDescent="0.25">
      <c r="A60" s="57" t="s">
        <v>641</v>
      </c>
      <c r="B60" s="57" t="s">
        <v>293</v>
      </c>
      <c r="C60" s="57" t="s">
        <v>679</v>
      </c>
      <c r="D60" s="57" t="s">
        <v>322</v>
      </c>
      <c r="E60" s="57" t="s">
        <v>680</v>
      </c>
      <c r="F60" s="57" t="s">
        <v>1224</v>
      </c>
      <c r="G60" s="78" t="s">
        <v>269</v>
      </c>
      <c r="H60" s="57"/>
      <c r="I60" s="57"/>
      <c r="J60" s="57"/>
      <c r="K60" s="57"/>
      <c r="L60" s="57"/>
    </row>
    <row r="61" spans="1:12" x14ac:dyDescent="0.25">
      <c r="A61" s="57" t="s">
        <v>641</v>
      </c>
      <c r="B61" s="57" t="s">
        <v>293</v>
      </c>
      <c r="C61" s="57" t="s">
        <v>681</v>
      </c>
      <c r="D61" s="57" t="s">
        <v>639</v>
      </c>
      <c r="E61" s="57" t="s">
        <v>682</v>
      </c>
      <c r="F61" s="57" t="s">
        <v>1200</v>
      </c>
      <c r="G61" s="78" t="s">
        <v>269</v>
      </c>
      <c r="H61" s="57"/>
      <c r="I61" s="57"/>
      <c r="J61" s="57"/>
      <c r="K61" s="57"/>
      <c r="L61" s="57"/>
    </row>
    <row r="62" spans="1:12" x14ac:dyDescent="0.25">
      <c r="A62" s="57" t="s">
        <v>683</v>
      </c>
      <c r="B62" s="57" t="s">
        <v>293</v>
      </c>
      <c r="C62" s="57" t="s">
        <v>684</v>
      </c>
      <c r="D62" s="57" t="s">
        <v>523</v>
      </c>
      <c r="E62" s="57" t="s">
        <v>685</v>
      </c>
      <c r="F62" s="57" t="s">
        <v>1200</v>
      </c>
      <c r="G62" s="78" t="s">
        <v>269</v>
      </c>
      <c r="H62" s="57"/>
      <c r="I62" s="57"/>
      <c r="J62" s="57"/>
      <c r="K62" s="57"/>
      <c r="L62" s="57"/>
    </row>
    <row r="63" spans="1:12" x14ac:dyDescent="0.25">
      <c r="A63" s="57" t="s">
        <v>672</v>
      </c>
      <c r="B63" s="57" t="s">
        <v>686</v>
      </c>
      <c r="C63" s="57" t="s">
        <v>687</v>
      </c>
      <c r="D63" s="57" t="s">
        <v>572</v>
      </c>
      <c r="E63" s="57" t="s">
        <v>688</v>
      </c>
      <c r="F63" s="57" t="s">
        <v>1200</v>
      </c>
      <c r="G63" s="78" t="s">
        <v>269</v>
      </c>
      <c r="H63" s="57"/>
      <c r="I63" s="57"/>
      <c r="J63" s="57"/>
      <c r="K63" s="57"/>
      <c r="L63" s="57"/>
    </row>
    <row r="64" spans="1:12" x14ac:dyDescent="0.25">
      <c r="A64" s="57" t="s">
        <v>672</v>
      </c>
      <c r="B64" s="57" t="s">
        <v>686</v>
      </c>
      <c r="C64" s="57" t="s">
        <v>689</v>
      </c>
      <c r="D64" s="57" t="s">
        <v>605</v>
      </c>
      <c r="E64" s="57" t="s">
        <v>690</v>
      </c>
      <c r="F64" s="57" t="s">
        <v>1200</v>
      </c>
      <c r="G64" s="78" t="s">
        <v>269</v>
      </c>
      <c r="H64" s="57"/>
      <c r="I64" s="57"/>
      <c r="J64" s="57"/>
      <c r="K64" s="57"/>
      <c r="L64" s="57"/>
    </row>
    <row r="65" spans="1:12" x14ac:dyDescent="0.25">
      <c r="A65" s="57" t="s">
        <v>672</v>
      </c>
      <c r="B65" s="57" t="s">
        <v>686</v>
      </c>
      <c r="C65" s="57" t="s">
        <v>691</v>
      </c>
      <c r="D65" s="57" t="s">
        <v>633</v>
      </c>
      <c r="E65" s="57" t="s">
        <v>692</v>
      </c>
      <c r="F65" s="57" t="s">
        <v>1200</v>
      </c>
      <c r="G65" s="78" t="s">
        <v>269</v>
      </c>
      <c r="H65" s="57"/>
      <c r="I65" s="57"/>
      <c r="J65" s="57"/>
      <c r="K65" s="57"/>
      <c r="L65" s="57"/>
    </row>
    <row r="66" spans="1:12" x14ac:dyDescent="0.25">
      <c r="A66" s="57" t="s">
        <v>453</v>
      </c>
      <c r="B66" s="57" t="s">
        <v>686</v>
      </c>
      <c r="C66" s="57" t="s">
        <v>454</v>
      </c>
      <c r="D66" s="57" t="s">
        <v>693</v>
      </c>
      <c r="E66" s="57" t="s">
        <v>459</v>
      </c>
      <c r="F66" s="57" t="s">
        <v>1200</v>
      </c>
      <c r="G66" s="78" t="s">
        <v>269</v>
      </c>
      <c r="H66" s="57"/>
      <c r="I66" s="57"/>
      <c r="J66" s="57"/>
      <c r="K66" s="57"/>
      <c r="L66" s="57"/>
    </row>
    <row r="67" spans="1:12" x14ac:dyDescent="0.25">
      <c r="A67" s="57" t="s">
        <v>672</v>
      </c>
      <c r="B67" s="57" t="s">
        <v>686</v>
      </c>
      <c r="C67" s="57" t="s">
        <v>694</v>
      </c>
      <c r="D67" s="57" t="s">
        <v>695</v>
      </c>
      <c r="E67" s="57" t="s">
        <v>696</v>
      </c>
      <c r="F67" s="57" t="s">
        <v>1200</v>
      </c>
      <c r="G67" s="78" t="s">
        <v>269</v>
      </c>
      <c r="H67" s="57"/>
      <c r="I67" s="57"/>
      <c r="J67" s="57"/>
      <c r="K67" s="57"/>
      <c r="L67" s="57"/>
    </row>
    <row r="68" spans="1:12" x14ac:dyDescent="0.25">
      <c r="A68" s="57" t="s">
        <v>570</v>
      </c>
      <c r="B68" s="57" t="s">
        <v>333</v>
      </c>
      <c r="C68" s="57" t="s">
        <v>697</v>
      </c>
      <c r="D68" s="57" t="s">
        <v>698</v>
      </c>
      <c r="E68" s="57" t="s">
        <v>699</v>
      </c>
      <c r="F68" s="57" t="s">
        <v>1200</v>
      </c>
      <c r="G68" s="78" t="s">
        <v>269</v>
      </c>
      <c r="H68" s="57"/>
      <c r="I68" s="57"/>
      <c r="J68" s="57"/>
      <c r="K68" s="57"/>
      <c r="L68" s="57"/>
    </row>
    <row r="69" spans="1:12" x14ac:dyDescent="0.25">
      <c r="A69" s="57" t="s">
        <v>700</v>
      </c>
      <c r="B69" s="57" t="s">
        <v>333</v>
      </c>
      <c r="C69" s="57" t="s">
        <v>701</v>
      </c>
      <c r="D69" s="57" t="s">
        <v>572</v>
      </c>
      <c r="E69" s="57" t="s">
        <v>702</v>
      </c>
      <c r="F69" s="57" t="s">
        <v>1225</v>
      </c>
      <c r="G69" s="78" t="s">
        <v>269</v>
      </c>
      <c r="H69" s="57"/>
      <c r="I69" s="57"/>
      <c r="J69" s="57"/>
      <c r="K69" s="57"/>
      <c r="L69" s="57"/>
    </row>
    <row r="70" spans="1:12" x14ac:dyDescent="0.25">
      <c r="A70" s="57" t="s">
        <v>700</v>
      </c>
      <c r="B70" s="57" t="s">
        <v>333</v>
      </c>
      <c r="C70" s="57" t="s">
        <v>703</v>
      </c>
      <c r="D70" s="57" t="s">
        <v>609</v>
      </c>
      <c r="E70" s="57" t="s">
        <v>704</v>
      </c>
      <c r="F70" s="57" t="s">
        <v>1226</v>
      </c>
      <c r="G70" s="78" t="s">
        <v>269</v>
      </c>
      <c r="H70" s="57"/>
      <c r="I70" s="57"/>
      <c r="J70" s="57"/>
      <c r="K70" s="57"/>
      <c r="L70" s="57"/>
    </row>
    <row r="71" spans="1:12" x14ac:dyDescent="0.25">
      <c r="A71" s="57" t="s">
        <v>401</v>
      </c>
      <c r="B71" s="57" t="s">
        <v>381</v>
      </c>
      <c r="C71" s="57" t="s">
        <v>705</v>
      </c>
      <c r="D71" s="57" t="s">
        <v>306</v>
      </c>
      <c r="E71" s="57" t="s">
        <v>706</v>
      </c>
      <c r="F71" s="57" t="s">
        <v>1200</v>
      </c>
      <c r="G71" s="78" t="s">
        <v>269</v>
      </c>
      <c r="H71" s="57"/>
      <c r="I71" s="57"/>
      <c r="J71" s="57"/>
      <c r="K71" s="57"/>
      <c r="L71" s="57"/>
    </row>
    <row r="72" spans="1:12" x14ac:dyDescent="0.25">
      <c r="A72" s="57" t="s">
        <v>401</v>
      </c>
      <c r="B72" s="57" t="s">
        <v>381</v>
      </c>
      <c r="C72" s="57" t="s">
        <v>707</v>
      </c>
      <c r="D72" s="57" t="s">
        <v>523</v>
      </c>
      <c r="E72" s="57" t="s">
        <v>462</v>
      </c>
      <c r="F72" s="57" t="s">
        <v>1200</v>
      </c>
      <c r="G72" s="78" t="s">
        <v>269</v>
      </c>
      <c r="H72" s="57"/>
      <c r="I72" s="57"/>
      <c r="J72" s="57"/>
      <c r="K72" s="57"/>
      <c r="L72" s="57"/>
    </row>
    <row r="73" spans="1:12" x14ac:dyDescent="0.25">
      <c r="A73" s="57" t="s">
        <v>401</v>
      </c>
      <c r="B73" s="57" t="s">
        <v>381</v>
      </c>
      <c r="C73" s="57" t="s">
        <v>708</v>
      </c>
      <c r="D73" s="57" t="s">
        <v>525</v>
      </c>
      <c r="E73" s="57" t="s">
        <v>464</v>
      </c>
      <c r="F73" s="57" t="s">
        <v>1200</v>
      </c>
      <c r="G73" s="78" t="s">
        <v>269</v>
      </c>
      <c r="H73" s="57"/>
      <c r="I73" s="57"/>
      <c r="J73" s="57"/>
      <c r="K73" s="57"/>
      <c r="L73" s="57"/>
    </row>
    <row r="74" spans="1:12" x14ac:dyDescent="0.25">
      <c r="A74" s="57" t="s">
        <v>401</v>
      </c>
      <c r="B74" s="57" t="s">
        <v>381</v>
      </c>
      <c r="C74" s="57" t="s">
        <v>709</v>
      </c>
      <c r="D74" s="57" t="s">
        <v>572</v>
      </c>
      <c r="E74" s="57" t="s">
        <v>710</v>
      </c>
      <c r="F74" s="57" t="s">
        <v>1200</v>
      </c>
      <c r="G74" s="78" t="s">
        <v>269</v>
      </c>
      <c r="H74" s="57"/>
      <c r="I74" s="57"/>
      <c r="J74" s="57"/>
      <c r="K74" s="57"/>
      <c r="L74" s="57"/>
    </row>
    <row r="75" spans="1:12" x14ac:dyDescent="0.25">
      <c r="A75" s="57" t="s">
        <v>401</v>
      </c>
      <c r="B75" s="57" t="s">
        <v>381</v>
      </c>
      <c r="C75" s="57" t="s">
        <v>402</v>
      </c>
      <c r="D75" s="57" t="s">
        <v>523</v>
      </c>
      <c r="E75" s="57" t="s">
        <v>711</v>
      </c>
      <c r="F75" s="57" t="s">
        <v>1200</v>
      </c>
      <c r="G75" s="78" t="s">
        <v>269</v>
      </c>
      <c r="H75" s="57"/>
      <c r="I75" s="57"/>
      <c r="J75" s="57"/>
      <c r="K75" s="57"/>
      <c r="L75" s="57"/>
    </row>
    <row r="76" spans="1:12" x14ac:dyDescent="0.25">
      <c r="A76" s="57" t="s">
        <v>401</v>
      </c>
      <c r="B76" s="57" t="s">
        <v>381</v>
      </c>
      <c r="C76" s="57" t="s">
        <v>463</v>
      </c>
      <c r="D76" s="57" t="s">
        <v>633</v>
      </c>
      <c r="E76" s="57" t="s">
        <v>712</v>
      </c>
      <c r="F76" s="57" t="s">
        <v>1200</v>
      </c>
      <c r="G76" s="78" t="s">
        <v>269</v>
      </c>
      <c r="H76" s="57"/>
      <c r="I76" s="57"/>
      <c r="J76" s="57"/>
      <c r="K76" s="57"/>
      <c r="L76" s="57"/>
    </row>
    <row r="77" spans="1:12" x14ac:dyDescent="0.25">
      <c r="A77" s="57" t="s">
        <v>401</v>
      </c>
      <c r="B77" s="57" t="s">
        <v>381</v>
      </c>
      <c r="C77" s="57" t="s">
        <v>713</v>
      </c>
      <c r="D77" s="57" t="s">
        <v>572</v>
      </c>
      <c r="E77" s="57" t="s">
        <v>714</v>
      </c>
      <c r="F77" s="57" t="s">
        <v>1200</v>
      </c>
      <c r="G77" s="78" t="s">
        <v>269</v>
      </c>
      <c r="H77" s="57"/>
      <c r="I77" s="57"/>
      <c r="J77" s="57"/>
      <c r="K77" s="57"/>
      <c r="L77" s="57"/>
    </row>
    <row r="78" spans="1:12" x14ac:dyDescent="0.25">
      <c r="A78" s="57" t="s">
        <v>401</v>
      </c>
      <c r="B78" s="57" t="s">
        <v>381</v>
      </c>
      <c r="C78" s="57" t="s">
        <v>715</v>
      </c>
      <c r="D78" s="57" t="s">
        <v>611</v>
      </c>
      <c r="E78" s="57" t="s">
        <v>716</v>
      </c>
      <c r="F78" s="57" t="s">
        <v>1200</v>
      </c>
      <c r="G78" s="78" t="s">
        <v>269</v>
      </c>
      <c r="H78" s="57"/>
      <c r="I78" s="57"/>
      <c r="J78" s="57"/>
      <c r="K78" s="57"/>
      <c r="L78" s="57"/>
    </row>
    <row r="79" spans="1:12" x14ac:dyDescent="0.25">
      <c r="A79" s="57" t="s">
        <v>717</v>
      </c>
      <c r="B79" s="57" t="s">
        <v>381</v>
      </c>
      <c r="C79" s="57" t="s">
        <v>718</v>
      </c>
      <c r="D79" s="57" t="s">
        <v>322</v>
      </c>
      <c r="E79" s="57" t="s">
        <v>719</v>
      </c>
      <c r="F79" s="57" t="s">
        <v>1227</v>
      </c>
      <c r="G79" s="78" t="s">
        <v>269</v>
      </c>
      <c r="H79" s="57"/>
      <c r="I79" s="57"/>
      <c r="J79" s="57"/>
      <c r="K79" s="57"/>
      <c r="L79" s="57"/>
    </row>
    <row r="80" spans="1:12" x14ac:dyDescent="0.25">
      <c r="A80" s="57" t="s">
        <v>657</v>
      </c>
      <c r="B80" s="57" t="s">
        <v>381</v>
      </c>
      <c r="C80" s="57" t="s">
        <v>720</v>
      </c>
      <c r="D80" s="57" t="s">
        <v>721</v>
      </c>
      <c r="E80" s="57" t="s">
        <v>722</v>
      </c>
      <c r="F80" s="57" t="s">
        <v>1228</v>
      </c>
      <c r="G80" s="78" t="s">
        <v>269</v>
      </c>
      <c r="H80" s="57"/>
      <c r="I80" s="57"/>
      <c r="J80" s="57"/>
      <c r="K80" s="57"/>
      <c r="L80" s="57"/>
    </row>
    <row r="81" spans="1:12" x14ac:dyDescent="0.25">
      <c r="A81" s="57" t="s">
        <v>657</v>
      </c>
      <c r="B81" s="57" t="s">
        <v>381</v>
      </c>
      <c r="C81" s="57" t="s">
        <v>723</v>
      </c>
      <c r="D81" s="57" t="s">
        <v>609</v>
      </c>
      <c r="E81" s="57" t="s">
        <v>724</v>
      </c>
      <c r="F81" s="57" t="s">
        <v>1229</v>
      </c>
      <c r="G81" s="78" t="s">
        <v>269</v>
      </c>
      <c r="H81" s="57"/>
      <c r="I81" s="57"/>
      <c r="J81" s="57"/>
      <c r="K81" s="57"/>
      <c r="L81" s="57"/>
    </row>
    <row r="82" spans="1:12" x14ac:dyDescent="0.25">
      <c r="A82" s="57" t="s">
        <v>725</v>
      </c>
      <c r="B82" s="57" t="s">
        <v>381</v>
      </c>
      <c r="C82" s="57" t="s">
        <v>726</v>
      </c>
      <c r="D82" s="57" t="s">
        <v>727</v>
      </c>
      <c r="E82" s="57" t="s">
        <v>728</v>
      </c>
      <c r="F82" s="57" t="s">
        <v>1200</v>
      </c>
      <c r="G82" s="78" t="s">
        <v>269</v>
      </c>
      <c r="H82" s="57"/>
      <c r="I82" s="57"/>
      <c r="J82" s="57"/>
      <c r="K82" s="57"/>
      <c r="L82" s="57"/>
    </row>
    <row r="83" spans="1:12" x14ac:dyDescent="0.25">
      <c r="A83" s="57" t="s">
        <v>725</v>
      </c>
      <c r="B83" s="57" t="s">
        <v>381</v>
      </c>
      <c r="C83" s="57" t="s">
        <v>729</v>
      </c>
      <c r="D83" s="57" t="s">
        <v>730</v>
      </c>
      <c r="E83" s="57" t="s">
        <v>731</v>
      </c>
      <c r="F83" s="57" t="s">
        <v>1200</v>
      </c>
      <c r="G83" s="78" t="s">
        <v>269</v>
      </c>
      <c r="H83" s="57"/>
      <c r="I83" s="57"/>
      <c r="J83" s="57"/>
      <c r="K83" s="57"/>
      <c r="L83" s="57"/>
    </row>
    <row r="84" spans="1:12" x14ac:dyDescent="0.25">
      <c r="A84" s="57" t="s">
        <v>641</v>
      </c>
      <c r="B84" s="57" t="s">
        <v>381</v>
      </c>
      <c r="C84" s="57" t="s">
        <v>732</v>
      </c>
      <c r="D84" s="57" t="s">
        <v>322</v>
      </c>
      <c r="E84" s="57" t="s">
        <v>733</v>
      </c>
      <c r="F84" s="57" t="s">
        <v>1230</v>
      </c>
      <c r="G84" s="78" t="s">
        <v>269</v>
      </c>
      <c r="H84" s="57"/>
      <c r="I84" s="57"/>
      <c r="J84" s="57"/>
      <c r="K84" s="57"/>
      <c r="L84" s="57"/>
    </row>
    <row r="85" spans="1:12" x14ac:dyDescent="0.25">
      <c r="A85" s="57" t="s">
        <v>641</v>
      </c>
      <c r="B85" s="57" t="s">
        <v>381</v>
      </c>
      <c r="C85" s="57" t="s">
        <v>734</v>
      </c>
      <c r="D85" s="57" t="s">
        <v>523</v>
      </c>
      <c r="E85" s="57" t="s">
        <v>735</v>
      </c>
      <c r="F85" s="57" t="s">
        <v>1231</v>
      </c>
      <c r="G85" s="78" t="s">
        <v>269</v>
      </c>
      <c r="H85" s="57"/>
      <c r="I85" s="57"/>
      <c r="J85" s="57"/>
      <c r="K85" s="57"/>
      <c r="L85" s="57"/>
    </row>
    <row r="86" spans="1:12" x14ac:dyDescent="0.25">
      <c r="A86" s="57" t="s">
        <v>736</v>
      </c>
      <c r="B86" s="57" t="s">
        <v>381</v>
      </c>
      <c r="C86" s="57" t="s">
        <v>737</v>
      </c>
      <c r="D86" s="57" t="s">
        <v>633</v>
      </c>
      <c r="E86" s="57" t="s">
        <v>738</v>
      </c>
      <c r="F86" s="57" t="s">
        <v>1232</v>
      </c>
      <c r="G86" s="78" t="s">
        <v>269</v>
      </c>
      <c r="H86" s="57"/>
      <c r="I86" s="57"/>
      <c r="J86" s="57"/>
      <c r="K86" s="57"/>
      <c r="L86" s="57"/>
    </row>
    <row r="87" spans="1:12" x14ac:dyDescent="0.25">
      <c r="A87" s="57" t="s">
        <v>628</v>
      </c>
      <c r="B87" s="57" t="s">
        <v>381</v>
      </c>
      <c r="C87" s="57" t="s">
        <v>739</v>
      </c>
      <c r="D87" s="57" t="s">
        <v>525</v>
      </c>
      <c r="E87" s="57" t="s">
        <v>740</v>
      </c>
      <c r="F87" s="57" t="s">
        <v>1200</v>
      </c>
      <c r="G87" s="78" t="s">
        <v>269</v>
      </c>
      <c r="H87" s="57"/>
      <c r="I87" s="57"/>
      <c r="J87" s="57"/>
      <c r="K87" s="57"/>
      <c r="L87" s="57"/>
    </row>
    <row r="88" spans="1:12" x14ac:dyDescent="0.25">
      <c r="A88" s="57" t="s">
        <v>647</v>
      </c>
      <c r="B88" s="57" t="s">
        <v>741</v>
      </c>
      <c r="C88" s="57" t="s">
        <v>742</v>
      </c>
      <c r="D88" s="57" t="s">
        <v>572</v>
      </c>
      <c r="E88" s="57" t="s">
        <v>743</v>
      </c>
      <c r="F88" s="57" t="s">
        <v>1233</v>
      </c>
      <c r="G88" s="78" t="s">
        <v>269</v>
      </c>
      <c r="H88" s="57"/>
      <c r="I88" s="57"/>
      <c r="J88" s="57"/>
      <c r="K88" s="57"/>
      <c r="L88" s="57"/>
    </row>
    <row r="89" spans="1:12" x14ac:dyDescent="0.25">
      <c r="A89" s="57" t="s">
        <v>647</v>
      </c>
      <c r="B89" s="57" t="s">
        <v>744</v>
      </c>
      <c r="C89" s="57" t="s">
        <v>745</v>
      </c>
      <c r="D89" s="57" t="s">
        <v>572</v>
      </c>
      <c r="E89" s="57" t="s">
        <v>746</v>
      </c>
      <c r="F89" s="57" t="s">
        <v>1234</v>
      </c>
      <c r="G89" s="78" t="s">
        <v>269</v>
      </c>
      <c r="H89" s="57"/>
      <c r="I89" s="57"/>
      <c r="J89" s="57"/>
      <c r="K89" s="57"/>
      <c r="L89" s="57"/>
    </row>
    <row r="90" spans="1:12" x14ac:dyDescent="0.25">
      <c r="A90" s="57" t="s">
        <v>647</v>
      </c>
      <c r="B90" s="57" t="s">
        <v>744</v>
      </c>
      <c r="C90" s="57" t="s">
        <v>747</v>
      </c>
      <c r="D90" s="57" t="s">
        <v>525</v>
      </c>
      <c r="E90" s="57" t="s">
        <v>748</v>
      </c>
      <c r="F90" s="57" t="s">
        <v>1235</v>
      </c>
      <c r="G90" s="78" t="s">
        <v>269</v>
      </c>
      <c r="H90" s="57"/>
      <c r="I90" s="57"/>
      <c r="J90" s="57"/>
      <c r="K90" s="57"/>
      <c r="L90" s="57"/>
    </row>
    <row r="91" spans="1:12" x14ac:dyDescent="0.25">
      <c r="A91" s="57" t="s">
        <v>717</v>
      </c>
      <c r="B91" s="57" t="s">
        <v>744</v>
      </c>
      <c r="C91" s="57" t="s">
        <v>749</v>
      </c>
      <c r="D91" s="57" t="s">
        <v>572</v>
      </c>
      <c r="E91" s="57" t="s">
        <v>750</v>
      </c>
      <c r="F91" s="57" t="s">
        <v>1236</v>
      </c>
      <c r="G91" s="78" t="s">
        <v>269</v>
      </c>
      <c r="H91" s="57"/>
      <c r="I91" s="57"/>
      <c r="J91" s="57"/>
      <c r="K91" s="57"/>
      <c r="L91" s="57"/>
    </row>
    <row r="92" spans="1:12" x14ac:dyDescent="0.25">
      <c r="A92" s="57" t="s">
        <v>717</v>
      </c>
      <c r="B92" s="57" t="s">
        <v>744</v>
      </c>
      <c r="C92" s="57" t="s">
        <v>751</v>
      </c>
      <c r="D92" s="57" t="s">
        <v>698</v>
      </c>
      <c r="E92" s="57" t="s">
        <v>752</v>
      </c>
      <c r="F92" s="57" t="s">
        <v>1237</v>
      </c>
      <c r="G92" s="78" t="s">
        <v>269</v>
      </c>
      <c r="H92" s="57"/>
      <c r="I92" s="57"/>
      <c r="J92" s="57"/>
      <c r="K92" s="57"/>
      <c r="L92" s="57"/>
    </row>
    <row r="93" spans="1:12" x14ac:dyDescent="0.25">
      <c r="A93" s="57" t="s">
        <v>342</v>
      </c>
      <c r="B93" s="57" t="s">
        <v>294</v>
      </c>
      <c r="C93" s="57" t="s">
        <v>753</v>
      </c>
      <c r="D93" s="57" t="s">
        <v>572</v>
      </c>
      <c r="E93" s="57" t="s">
        <v>410</v>
      </c>
      <c r="F93" s="57" t="s">
        <v>1238</v>
      </c>
      <c r="G93" s="78" t="s">
        <v>269</v>
      </c>
      <c r="H93" s="57"/>
      <c r="I93" s="57"/>
      <c r="J93" s="57"/>
      <c r="K93" s="57"/>
      <c r="L93" s="57"/>
    </row>
    <row r="94" spans="1:12" x14ac:dyDescent="0.25">
      <c r="A94" s="57" t="s">
        <v>754</v>
      </c>
      <c r="B94" s="57" t="s">
        <v>294</v>
      </c>
      <c r="C94" s="57" t="s">
        <v>755</v>
      </c>
      <c r="D94" s="57" t="s">
        <v>568</v>
      </c>
      <c r="E94" s="57" t="s">
        <v>756</v>
      </c>
      <c r="F94" s="57" t="s">
        <v>1239</v>
      </c>
      <c r="G94" s="78" t="s">
        <v>269</v>
      </c>
      <c r="H94" s="57"/>
      <c r="I94" s="57"/>
      <c r="J94" s="57"/>
      <c r="K94" s="57"/>
      <c r="L94" s="57"/>
    </row>
    <row r="95" spans="1:12" x14ac:dyDescent="0.25">
      <c r="A95" s="57" t="s">
        <v>401</v>
      </c>
      <c r="B95" s="57" t="s">
        <v>294</v>
      </c>
      <c r="C95" s="57" t="s">
        <v>757</v>
      </c>
      <c r="D95" s="57" t="s">
        <v>639</v>
      </c>
      <c r="E95" s="57" t="s">
        <v>758</v>
      </c>
      <c r="F95" s="57" t="s">
        <v>1200</v>
      </c>
      <c r="G95" s="78" t="s">
        <v>269</v>
      </c>
      <c r="H95" s="57"/>
      <c r="I95" s="57"/>
      <c r="J95" s="57"/>
      <c r="K95" s="57"/>
      <c r="L95" s="57"/>
    </row>
    <row r="96" spans="1:12" x14ac:dyDescent="0.25">
      <c r="A96" s="57" t="s">
        <v>647</v>
      </c>
      <c r="B96" s="57" t="s">
        <v>294</v>
      </c>
      <c r="C96" s="57" t="s">
        <v>759</v>
      </c>
      <c r="D96" s="57" t="s">
        <v>645</v>
      </c>
      <c r="E96" s="57" t="s">
        <v>760</v>
      </c>
      <c r="F96" s="57" t="s">
        <v>1240</v>
      </c>
      <c r="G96" s="78" t="s">
        <v>269</v>
      </c>
      <c r="H96" s="57"/>
      <c r="I96" s="57"/>
      <c r="J96" s="57"/>
      <c r="K96" s="57"/>
      <c r="L96" s="57"/>
    </row>
    <row r="97" spans="1:12" x14ac:dyDescent="0.25">
      <c r="A97" s="57" t="s">
        <v>647</v>
      </c>
      <c r="B97" s="57" t="s">
        <v>294</v>
      </c>
      <c r="C97" s="57" t="s">
        <v>761</v>
      </c>
      <c r="D97" s="57" t="s">
        <v>523</v>
      </c>
      <c r="E97" s="57" t="s">
        <v>762</v>
      </c>
      <c r="F97" s="57" t="s">
        <v>1241</v>
      </c>
      <c r="G97" s="78" t="s">
        <v>269</v>
      </c>
      <c r="H97" s="57"/>
      <c r="I97" s="57"/>
      <c r="J97" s="57"/>
      <c r="K97" s="57"/>
      <c r="L97" s="57"/>
    </row>
    <row r="98" spans="1:12" x14ac:dyDescent="0.25">
      <c r="A98" s="57" t="s">
        <v>717</v>
      </c>
      <c r="B98" s="57" t="s">
        <v>294</v>
      </c>
      <c r="C98" s="57" t="s">
        <v>763</v>
      </c>
      <c r="D98" s="57" t="s">
        <v>611</v>
      </c>
      <c r="E98" s="57" t="s">
        <v>764</v>
      </c>
      <c r="F98" s="57" t="s">
        <v>1200</v>
      </c>
      <c r="G98" s="78" t="s">
        <v>269</v>
      </c>
      <c r="H98" s="57"/>
      <c r="I98" s="57"/>
      <c r="J98" s="57"/>
      <c r="K98" s="57"/>
      <c r="L98" s="57"/>
    </row>
    <row r="99" spans="1:12" x14ac:dyDescent="0.25">
      <c r="A99" s="57" t="s">
        <v>717</v>
      </c>
      <c r="B99" s="57" t="s">
        <v>294</v>
      </c>
      <c r="C99" s="57" t="s">
        <v>765</v>
      </c>
      <c r="D99" s="57" t="s">
        <v>525</v>
      </c>
      <c r="E99" s="57" t="s">
        <v>766</v>
      </c>
      <c r="F99" s="57" t="s">
        <v>1242</v>
      </c>
      <c r="G99" s="78" t="s">
        <v>269</v>
      </c>
      <c r="H99" s="57"/>
      <c r="I99" s="57"/>
      <c r="J99" s="57"/>
      <c r="K99" s="57"/>
      <c r="L99" s="57"/>
    </row>
    <row r="100" spans="1:12" x14ac:dyDescent="0.25">
      <c r="A100" s="57" t="s">
        <v>524</v>
      </c>
      <c r="B100" s="57" t="s">
        <v>294</v>
      </c>
      <c r="C100" s="57" t="s">
        <v>767</v>
      </c>
      <c r="D100" s="57" t="s">
        <v>768</v>
      </c>
      <c r="E100" s="57" t="s">
        <v>769</v>
      </c>
      <c r="F100" s="57" t="s">
        <v>1200</v>
      </c>
      <c r="G100" s="78" t="s">
        <v>269</v>
      </c>
      <c r="H100" s="57"/>
      <c r="I100" s="57"/>
      <c r="J100" s="57"/>
      <c r="K100" s="57"/>
      <c r="L100" s="57"/>
    </row>
    <row r="101" spans="1:12" x14ac:dyDescent="0.25">
      <c r="A101" s="57" t="s">
        <v>524</v>
      </c>
      <c r="B101" s="57" t="s">
        <v>294</v>
      </c>
      <c r="C101" s="57" t="s">
        <v>770</v>
      </c>
      <c r="D101" s="57" t="s">
        <v>771</v>
      </c>
      <c r="E101" s="57" t="s">
        <v>772</v>
      </c>
      <c r="F101" s="57" t="s">
        <v>1200</v>
      </c>
      <c r="G101" s="78" t="s">
        <v>269</v>
      </c>
      <c r="H101" s="57"/>
      <c r="I101" s="57"/>
      <c r="J101" s="57"/>
      <c r="K101" s="57"/>
      <c r="L101" s="57"/>
    </row>
    <row r="102" spans="1:12" x14ac:dyDescent="0.25">
      <c r="A102" s="57" t="s">
        <v>378</v>
      </c>
      <c r="B102" s="57" t="s">
        <v>294</v>
      </c>
      <c r="C102" s="57" t="s">
        <v>773</v>
      </c>
      <c r="D102" s="57" t="s">
        <v>307</v>
      </c>
      <c r="E102" s="57" t="s">
        <v>399</v>
      </c>
      <c r="F102" s="57" t="s">
        <v>1200</v>
      </c>
      <c r="G102" s="78" t="s">
        <v>269</v>
      </c>
      <c r="H102" s="57"/>
      <c r="I102" s="57"/>
      <c r="J102" s="57"/>
      <c r="K102" s="57"/>
      <c r="L102" s="57"/>
    </row>
    <row r="103" spans="1:12" x14ac:dyDescent="0.25">
      <c r="A103" s="57" t="s">
        <v>457</v>
      </c>
      <c r="B103" s="57" t="s">
        <v>294</v>
      </c>
      <c r="C103" s="57" t="s">
        <v>774</v>
      </c>
      <c r="D103" s="57" t="s">
        <v>525</v>
      </c>
      <c r="E103" s="57" t="s">
        <v>775</v>
      </c>
      <c r="F103" s="57" t="s">
        <v>1243</v>
      </c>
      <c r="G103" s="78" t="s">
        <v>269</v>
      </c>
      <c r="H103" s="57"/>
      <c r="I103" s="57"/>
      <c r="J103" s="57"/>
      <c r="K103" s="57"/>
      <c r="L103" s="57"/>
    </row>
    <row r="104" spans="1:12" x14ac:dyDescent="0.25">
      <c r="A104" s="57" t="s">
        <v>457</v>
      </c>
      <c r="B104" s="57" t="s">
        <v>294</v>
      </c>
      <c r="C104" s="57" t="s">
        <v>776</v>
      </c>
      <c r="D104" s="57" t="s">
        <v>665</v>
      </c>
      <c r="E104" s="57" t="s">
        <v>777</v>
      </c>
      <c r="F104" s="57" t="s">
        <v>1244</v>
      </c>
      <c r="G104" s="78" t="s">
        <v>269</v>
      </c>
      <c r="H104" s="57"/>
      <c r="I104" s="57"/>
      <c r="J104" s="57"/>
      <c r="K104" s="57"/>
      <c r="L104" s="57"/>
    </row>
    <row r="105" spans="1:12" x14ac:dyDescent="0.25">
      <c r="A105" s="57" t="s">
        <v>657</v>
      </c>
      <c r="B105" s="57" t="s">
        <v>294</v>
      </c>
      <c r="C105" s="57" t="s">
        <v>778</v>
      </c>
      <c r="D105" s="57" t="s">
        <v>645</v>
      </c>
      <c r="E105" s="57" t="s">
        <v>779</v>
      </c>
      <c r="F105" s="57" t="s">
        <v>1245</v>
      </c>
      <c r="G105" s="78" t="s">
        <v>269</v>
      </c>
      <c r="H105" s="57"/>
      <c r="I105" s="57"/>
      <c r="J105" s="57"/>
      <c r="K105" s="57"/>
      <c r="L105" s="57"/>
    </row>
    <row r="106" spans="1:12" x14ac:dyDescent="0.25">
      <c r="A106" s="57" t="s">
        <v>657</v>
      </c>
      <c r="B106" s="57" t="s">
        <v>294</v>
      </c>
      <c r="C106" s="57" t="s">
        <v>780</v>
      </c>
      <c r="D106" s="57" t="s">
        <v>611</v>
      </c>
      <c r="E106" s="57" t="s">
        <v>781</v>
      </c>
      <c r="F106" s="57" t="s">
        <v>1246</v>
      </c>
      <c r="G106" s="78" t="s">
        <v>269</v>
      </c>
      <c r="H106" s="57"/>
      <c r="I106" s="57"/>
      <c r="J106" s="57"/>
      <c r="K106" s="57"/>
      <c r="L106" s="57"/>
    </row>
    <row r="107" spans="1:12" x14ac:dyDescent="0.25">
      <c r="A107" s="57" t="s">
        <v>657</v>
      </c>
      <c r="B107" s="57" t="s">
        <v>294</v>
      </c>
      <c r="C107" s="57" t="s">
        <v>782</v>
      </c>
      <c r="D107" s="57" t="s">
        <v>307</v>
      </c>
      <c r="E107" s="57" t="s">
        <v>783</v>
      </c>
      <c r="F107" s="57" t="s">
        <v>1247</v>
      </c>
      <c r="G107" s="78" t="s">
        <v>269</v>
      </c>
      <c r="H107" s="57"/>
      <c r="I107" s="57"/>
      <c r="J107" s="57"/>
      <c r="K107" s="57"/>
      <c r="L107" s="57"/>
    </row>
    <row r="108" spans="1:12" x14ac:dyDescent="0.25">
      <c r="A108" s="57" t="s">
        <v>669</v>
      </c>
      <c r="B108" s="57" t="s">
        <v>294</v>
      </c>
      <c r="C108" s="57" t="s">
        <v>784</v>
      </c>
      <c r="D108" s="57" t="s">
        <v>665</v>
      </c>
      <c r="E108" s="57" t="s">
        <v>785</v>
      </c>
      <c r="F108" s="57" t="s">
        <v>1200</v>
      </c>
      <c r="G108" s="78" t="s">
        <v>269</v>
      </c>
      <c r="H108" s="57"/>
      <c r="I108" s="57"/>
      <c r="J108" s="57"/>
      <c r="K108" s="57"/>
      <c r="L108" s="57"/>
    </row>
    <row r="109" spans="1:12" x14ac:dyDescent="0.25">
      <c r="A109" s="57" t="s">
        <v>736</v>
      </c>
      <c r="B109" s="57" t="s">
        <v>294</v>
      </c>
      <c r="C109" s="57" t="s">
        <v>786</v>
      </c>
      <c r="D109" s="57" t="s">
        <v>639</v>
      </c>
      <c r="E109" s="57" t="s">
        <v>787</v>
      </c>
      <c r="F109" s="57" t="s">
        <v>1248</v>
      </c>
      <c r="G109" s="78" t="s">
        <v>269</v>
      </c>
      <c r="H109" s="57"/>
      <c r="I109" s="57"/>
      <c r="J109" s="57"/>
      <c r="K109" s="57"/>
      <c r="L109" s="57"/>
    </row>
    <row r="110" spans="1:12" x14ac:dyDescent="0.25">
      <c r="A110" s="57" t="s">
        <v>641</v>
      </c>
      <c r="B110" s="57" t="s">
        <v>294</v>
      </c>
      <c r="C110" s="57" t="s">
        <v>788</v>
      </c>
      <c r="D110" s="57" t="s">
        <v>611</v>
      </c>
      <c r="E110" s="57" t="s">
        <v>789</v>
      </c>
      <c r="F110" s="57" t="s">
        <v>1249</v>
      </c>
      <c r="G110" s="78" t="s">
        <v>269</v>
      </c>
      <c r="H110" s="57"/>
      <c r="I110" s="57"/>
      <c r="J110" s="57"/>
      <c r="K110" s="57"/>
      <c r="L110" s="57"/>
    </row>
    <row r="111" spans="1:12" x14ac:dyDescent="0.25">
      <c r="A111" s="57" t="s">
        <v>641</v>
      </c>
      <c r="B111" s="57" t="s">
        <v>294</v>
      </c>
      <c r="C111" s="57" t="s">
        <v>790</v>
      </c>
      <c r="D111" s="57" t="s">
        <v>645</v>
      </c>
      <c r="E111" s="57" t="s">
        <v>791</v>
      </c>
      <c r="F111" s="57" t="s">
        <v>1200</v>
      </c>
      <c r="G111" s="78" t="s">
        <v>269</v>
      </c>
      <c r="H111" s="57"/>
      <c r="I111" s="57"/>
      <c r="J111" s="57"/>
      <c r="K111" s="57"/>
      <c r="L111" s="57"/>
    </row>
    <row r="112" spans="1:12" x14ac:dyDescent="0.25">
      <c r="A112" s="57" t="s">
        <v>792</v>
      </c>
      <c r="B112" s="57" t="s">
        <v>294</v>
      </c>
      <c r="C112" s="57" t="s">
        <v>793</v>
      </c>
      <c r="D112" s="57" t="s">
        <v>633</v>
      </c>
      <c r="E112" s="57" t="s">
        <v>794</v>
      </c>
      <c r="F112" s="57" t="s">
        <v>1250</v>
      </c>
      <c r="G112" s="78" t="s">
        <v>269</v>
      </c>
      <c r="H112" s="57"/>
      <c r="I112" s="57"/>
      <c r="J112" s="57"/>
      <c r="K112" s="57"/>
      <c r="L112" s="57"/>
    </row>
    <row r="113" spans="1:12" x14ac:dyDescent="0.25">
      <c r="A113" s="57" t="s">
        <v>460</v>
      </c>
      <c r="B113" s="57" t="s">
        <v>294</v>
      </c>
      <c r="C113" s="57" t="s">
        <v>795</v>
      </c>
      <c r="D113" s="57" t="s">
        <v>626</v>
      </c>
      <c r="E113" s="57" t="s">
        <v>796</v>
      </c>
      <c r="F113" s="57" t="s">
        <v>1251</v>
      </c>
      <c r="G113" s="78" t="s">
        <v>269</v>
      </c>
      <c r="H113" s="57"/>
      <c r="I113" s="57"/>
      <c r="J113" s="57"/>
      <c r="K113" s="57"/>
      <c r="L113" s="57"/>
    </row>
    <row r="114" spans="1:12" x14ac:dyDescent="0.25">
      <c r="A114" s="57" t="s">
        <v>460</v>
      </c>
      <c r="B114" s="57" t="s">
        <v>294</v>
      </c>
      <c r="C114" s="57" t="s">
        <v>797</v>
      </c>
      <c r="D114" s="57" t="s">
        <v>611</v>
      </c>
      <c r="E114" s="57" t="s">
        <v>798</v>
      </c>
      <c r="F114" s="57" t="s">
        <v>1200</v>
      </c>
      <c r="G114" s="78" t="s">
        <v>269</v>
      </c>
      <c r="H114" s="57"/>
      <c r="I114" s="57"/>
      <c r="J114" s="57"/>
      <c r="K114" s="57"/>
      <c r="L114" s="57"/>
    </row>
    <row r="115" spans="1:12" x14ac:dyDescent="0.25">
      <c r="A115" s="57" t="s">
        <v>460</v>
      </c>
      <c r="B115" s="57" t="s">
        <v>294</v>
      </c>
      <c r="C115" s="57" t="s">
        <v>799</v>
      </c>
      <c r="D115" s="57" t="s">
        <v>609</v>
      </c>
      <c r="E115" s="57" t="s">
        <v>800</v>
      </c>
      <c r="F115" s="57" t="s">
        <v>1200</v>
      </c>
      <c r="G115" s="78" t="s">
        <v>269</v>
      </c>
      <c r="H115" s="57"/>
      <c r="I115" s="57"/>
      <c r="J115" s="57"/>
      <c r="K115" s="57"/>
      <c r="L115" s="57"/>
    </row>
    <row r="116" spans="1:12" x14ac:dyDescent="0.25">
      <c r="A116" s="57" t="s">
        <v>460</v>
      </c>
      <c r="B116" s="57" t="s">
        <v>294</v>
      </c>
      <c r="C116" s="57" t="s">
        <v>801</v>
      </c>
      <c r="D116" s="57" t="s">
        <v>609</v>
      </c>
      <c r="E116" s="57" t="s">
        <v>802</v>
      </c>
      <c r="F116" s="57" t="s">
        <v>1252</v>
      </c>
      <c r="G116" s="78" t="s">
        <v>269</v>
      </c>
      <c r="H116" s="57"/>
      <c r="I116" s="57"/>
      <c r="J116" s="57"/>
      <c r="K116" s="57"/>
      <c r="L116" s="57"/>
    </row>
    <row r="117" spans="1:12" x14ac:dyDescent="0.25">
      <c r="A117" s="57" t="s">
        <v>460</v>
      </c>
      <c r="B117" s="57" t="s">
        <v>294</v>
      </c>
      <c r="C117" s="57" t="s">
        <v>803</v>
      </c>
      <c r="D117" s="57" t="s">
        <v>307</v>
      </c>
      <c r="E117" s="57" t="s">
        <v>804</v>
      </c>
      <c r="F117" s="57" t="s">
        <v>1253</v>
      </c>
      <c r="G117" s="78" t="s">
        <v>269</v>
      </c>
      <c r="H117" s="57"/>
      <c r="I117" s="57"/>
      <c r="J117" s="57"/>
      <c r="K117" s="57"/>
      <c r="L117" s="57"/>
    </row>
    <row r="118" spans="1:12" x14ac:dyDescent="0.25">
      <c r="A118" s="57" t="s">
        <v>641</v>
      </c>
      <c r="B118" s="57" t="s">
        <v>805</v>
      </c>
      <c r="C118" s="57" t="s">
        <v>806</v>
      </c>
      <c r="D118" s="57" t="s">
        <v>322</v>
      </c>
      <c r="E118" s="57" t="s">
        <v>807</v>
      </c>
      <c r="F118" s="57" t="s">
        <v>1254</v>
      </c>
      <c r="G118" s="78" t="s">
        <v>269</v>
      </c>
      <c r="H118" s="57"/>
      <c r="I118" s="57"/>
      <c r="J118" s="57"/>
      <c r="K118" s="57"/>
      <c r="L118" s="57"/>
    </row>
    <row r="119" spans="1:12" x14ac:dyDescent="0.25">
      <c r="A119" s="57" t="s">
        <v>635</v>
      </c>
      <c r="B119" s="57" t="s">
        <v>323</v>
      </c>
      <c r="C119" s="57" t="s">
        <v>808</v>
      </c>
      <c r="D119" s="57" t="s">
        <v>306</v>
      </c>
      <c r="E119" s="57" t="s">
        <v>809</v>
      </c>
      <c r="F119" s="57" t="s">
        <v>1255</v>
      </c>
      <c r="G119" s="78" t="s">
        <v>269</v>
      </c>
      <c r="H119" s="57"/>
      <c r="I119" s="57"/>
      <c r="J119" s="57"/>
      <c r="K119" s="57"/>
      <c r="L119" s="57"/>
    </row>
    <row r="120" spans="1:12" x14ac:dyDescent="0.25">
      <c r="A120" s="57" t="s">
        <v>717</v>
      </c>
      <c r="B120" s="57" t="s">
        <v>323</v>
      </c>
      <c r="C120" s="57" t="s">
        <v>810</v>
      </c>
      <c r="D120" s="57" t="s">
        <v>523</v>
      </c>
      <c r="E120" s="57" t="s">
        <v>811</v>
      </c>
      <c r="F120" s="57" t="s">
        <v>1256</v>
      </c>
      <c r="G120" s="78" t="s">
        <v>269</v>
      </c>
      <c r="H120" s="57"/>
      <c r="I120" s="57"/>
      <c r="J120" s="57"/>
      <c r="K120" s="57"/>
      <c r="L120" s="57"/>
    </row>
    <row r="121" spans="1:12" x14ac:dyDescent="0.25">
      <c r="A121" s="57" t="s">
        <v>310</v>
      </c>
      <c r="B121" s="57" t="s">
        <v>323</v>
      </c>
      <c r="C121" s="57" t="s">
        <v>812</v>
      </c>
      <c r="D121" s="57" t="s">
        <v>613</v>
      </c>
      <c r="E121" s="57" t="s">
        <v>813</v>
      </c>
      <c r="F121" s="57" t="s">
        <v>1257</v>
      </c>
      <c r="G121" s="78" t="s">
        <v>269</v>
      </c>
      <c r="H121" s="57"/>
      <c r="I121" s="57"/>
      <c r="J121" s="57"/>
      <c r="K121" s="57"/>
      <c r="L121" s="57"/>
    </row>
    <row r="122" spans="1:12" x14ac:dyDescent="0.25">
      <c r="A122" s="57" t="s">
        <v>310</v>
      </c>
      <c r="B122" s="57" t="s">
        <v>323</v>
      </c>
      <c r="C122" s="57" t="s">
        <v>814</v>
      </c>
      <c r="D122" s="57" t="s">
        <v>815</v>
      </c>
      <c r="E122" s="57" t="s">
        <v>816</v>
      </c>
      <c r="F122" s="57" t="s">
        <v>1258</v>
      </c>
      <c r="G122" s="78" t="s">
        <v>269</v>
      </c>
      <c r="H122" s="57"/>
      <c r="I122" s="57"/>
      <c r="J122" s="57"/>
      <c r="K122" s="57"/>
      <c r="L122" s="57"/>
    </row>
    <row r="123" spans="1:12" x14ac:dyDescent="0.25">
      <c r="A123" s="57" t="s">
        <v>460</v>
      </c>
      <c r="B123" s="57" t="s">
        <v>323</v>
      </c>
      <c r="C123" s="57" t="s">
        <v>817</v>
      </c>
      <c r="D123" s="57" t="s">
        <v>525</v>
      </c>
      <c r="E123" s="57" t="s">
        <v>818</v>
      </c>
      <c r="F123" s="57" t="s">
        <v>1259</v>
      </c>
      <c r="G123" s="78" t="s">
        <v>269</v>
      </c>
      <c r="H123" s="57"/>
      <c r="I123" s="57"/>
      <c r="J123" s="57"/>
      <c r="K123" s="57"/>
      <c r="L123" s="57"/>
    </row>
    <row r="124" spans="1:12" x14ac:dyDescent="0.25">
      <c r="A124" s="57" t="s">
        <v>460</v>
      </c>
      <c r="B124" s="57" t="s">
        <v>323</v>
      </c>
      <c r="C124" s="57" t="s">
        <v>819</v>
      </c>
      <c r="D124" s="57" t="s">
        <v>307</v>
      </c>
      <c r="E124" s="57" t="s">
        <v>820</v>
      </c>
      <c r="F124" s="57" t="s">
        <v>1260</v>
      </c>
      <c r="G124" s="78" t="s">
        <v>269</v>
      </c>
      <c r="H124" s="57"/>
      <c r="I124" s="57"/>
      <c r="J124" s="57"/>
      <c r="K124" s="57"/>
      <c r="L124" s="57"/>
    </row>
    <row r="125" spans="1:12" x14ac:dyDescent="0.25">
      <c r="A125" s="57" t="s">
        <v>821</v>
      </c>
      <c r="B125" s="57" t="s">
        <v>822</v>
      </c>
      <c r="C125" s="57" t="s">
        <v>823</v>
      </c>
      <c r="D125" s="57" t="s">
        <v>322</v>
      </c>
      <c r="E125" s="57" t="s">
        <v>824</v>
      </c>
      <c r="F125" s="57" t="s">
        <v>1261</v>
      </c>
      <c r="G125" s="78" t="s">
        <v>269</v>
      </c>
      <c r="H125" s="57"/>
      <c r="I125" s="57"/>
      <c r="J125" s="57"/>
      <c r="K125" s="57"/>
      <c r="L125" s="57"/>
    </row>
    <row r="126" spans="1:12" x14ac:dyDescent="0.25">
      <c r="A126" s="57" t="s">
        <v>657</v>
      </c>
      <c r="B126" s="57" t="s">
        <v>461</v>
      </c>
      <c r="C126" s="57" t="s">
        <v>825</v>
      </c>
      <c r="D126" s="57" t="s">
        <v>572</v>
      </c>
      <c r="E126" s="57" t="s">
        <v>826</v>
      </c>
      <c r="F126" s="57" t="s">
        <v>1262</v>
      </c>
      <c r="G126" s="78" t="s">
        <v>269</v>
      </c>
      <c r="H126" s="57"/>
      <c r="I126" s="57"/>
      <c r="J126" s="57"/>
      <c r="K126" s="57"/>
      <c r="L126" s="57"/>
    </row>
    <row r="127" spans="1:12" x14ac:dyDescent="0.25">
      <c r="A127" s="57" t="s">
        <v>827</v>
      </c>
      <c r="B127" s="57" t="s">
        <v>828</v>
      </c>
      <c r="C127" s="57" t="s">
        <v>829</v>
      </c>
      <c r="D127" s="57" t="s">
        <v>613</v>
      </c>
      <c r="E127" s="57" t="s">
        <v>830</v>
      </c>
      <c r="F127" s="57" t="s">
        <v>1200</v>
      </c>
      <c r="G127" s="78" t="s">
        <v>269</v>
      </c>
      <c r="H127" s="57"/>
      <c r="I127" s="57"/>
      <c r="J127" s="57"/>
      <c r="K127" s="57"/>
      <c r="L127" s="57"/>
    </row>
    <row r="128" spans="1:12" x14ac:dyDescent="0.25">
      <c r="A128" s="57" t="s">
        <v>657</v>
      </c>
      <c r="B128" s="57" t="s">
        <v>295</v>
      </c>
      <c r="C128" s="57" t="s">
        <v>831</v>
      </c>
      <c r="D128" s="57" t="s">
        <v>609</v>
      </c>
      <c r="E128" s="57" t="s">
        <v>832</v>
      </c>
      <c r="F128" s="57" t="s">
        <v>1263</v>
      </c>
      <c r="G128" s="78" t="s">
        <v>269</v>
      </c>
      <c r="H128" s="57"/>
      <c r="I128" s="57"/>
      <c r="J128" s="57"/>
      <c r="K128" s="57"/>
      <c r="L128" s="57"/>
    </row>
    <row r="129" spans="1:12" x14ac:dyDescent="0.25">
      <c r="A129" s="57" t="s">
        <v>833</v>
      </c>
      <c r="B129" s="57" t="s">
        <v>295</v>
      </c>
      <c r="C129" s="57" t="s">
        <v>834</v>
      </c>
      <c r="D129" s="57" t="s">
        <v>698</v>
      </c>
      <c r="E129" s="57" t="s">
        <v>835</v>
      </c>
      <c r="F129" s="57" t="s">
        <v>1264</v>
      </c>
      <c r="G129" s="78" t="s">
        <v>269</v>
      </c>
      <c r="H129" s="57"/>
      <c r="I129" s="57"/>
      <c r="J129" s="57"/>
      <c r="K129" s="57"/>
      <c r="L129" s="57"/>
    </row>
    <row r="130" spans="1:12" x14ac:dyDescent="0.25">
      <c r="A130" s="57" t="s">
        <v>836</v>
      </c>
      <c r="B130" s="57" t="s">
        <v>295</v>
      </c>
      <c r="C130" s="57" t="s">
        <v>837</v>
      </c>
      <c r="D130" s="57" t="s">
        <v>525</v>
      </c>
      <c r="E130" s="57" t="s">
        <v>838</v>
      </c>
      <c r="F130" s="57" t="s">
        <v>1265</v>
      </c>
      <c r="G130" s="78" t="s">
        <v>269</v>
      </c>
      <c r="H130" s="57"/>
      <c r="I130" s="57"/>
      <c r="J130" s="57"/>
      <c r="K130" s="57"/>
      <c r="L130" s="57"/>
    </row>
    <row r="131" spans="1:12" x14ac:dyDescent="0.25">
      <c r="A131" s="57" t="s">
        <v>460</v>
      </c>
      <c r="B131" s="57" t="s">
        <v>295</v>
      </c>
      <c r="C131" s="57" t="s">
        <v>839</v>
      </c>
      <c r="D131" s="57" t="s">
        <v>698</v>
      </c>
      <c r="E131" s="57" t="s">
        <v>840</v>
      </c>
      <c r="F131" s="57" t="s">
        <v>1266</v>
      </c>
      <c r="G131" s="78" t="s">
        <v>269</v>
      </c>
      <c r="H131" s="57"/>
      <c r="I131" s="57"/>
      <c r="J131" s="57"/>
      <c r="K131" s="57"/>
      <c r="L131" s="57"/>
    </row>
    <row r="132" spans="1:12" x14ac:dyDescent="0.25">
      <c r="A132" s="57" t="s">
        <v>460</v>
      </c>
      <c r="B132" s="57" t="s">
        <v>295</v>
      </c>
      <c r="C132" s="57" t="s">
        <v>841</v>
      </c>
      <c r="D132" s="57" t="s">
        <v>842</v>
      </c>
      <c r="E132" s="57" t="s">
        <v>843</v>
      </c>
      <c r="F132" s="57" t="s">
        <v>1267</v>
      </c>
      <c r="G132" s="78" t="s">
        <v>269</v>
      </c>
      <c r="H132" s="57"/>
      <c r="I132" s="57"/>
      <c r="J132" s="57"/>
      <c r="K132" s="57"/>
      <c r="L132" s="57"/>
    </row>
    <row r="133" spans="1:12" x14ac:dyDescent="0.25">
      <c r="A133" s="57" t="s">
        <v>460</v>
      </c>
      <c r="B133" s="57" t="s">
        <v>295</v>
      </c>
      <c r="C133" s="57" t="s">
        <v>844</v>
      </c>
      <c r="D133" s="57" t="s">
        <v>626</v>
      </c>
      <c r="E133" s="57" t="s">
        <v>845</v>
      </c>
      <c r="F133" s="57" t="s">
        <v>1268</v>
      </c>
      <c r="G133" s="78" t="s">
        <v>269</v>
      </c>
      <c r="H133" s="57"/>
      <c r="I133" s="57"/>
      <c r="J133" s="57"/>
      <c r="K133" s="57"/>
      <c r="L133" s="57"/>
    </row>
    <row r="134" spans="1:12" x14ac:dyDescent="0.25">
      <c r="A134" s="57" t="s">
        <v>846</v>
      </c>
      <c r="B134" s="57" t="s">
        <v>295</v>
      </c>
      <c r="C134" s="57" t="s">
        <v>847</v>
      </c>
      <c r="D134" s="57" t="s">
        <v>306</v>
      </c>
      <c r="E134" s="57" t="s">
        <v>848</v>
      </c>
      <c r="F134" s="57" t="s">
        <v>1269</v>
      </c>
      <c r="G134" s="78" t="s">
        <v>269</v>
      </c>
      <c r="H134" s="57"/>
      <c r="I134" s="57"/>
      <c r="J134" s="57"/>
      <c r="K134" s="57"/>
      <c r="L134" s="57"/>
    </row>
    <row r="135" spans="1:12" x14ac:dyDescent="0.25">
      <c r="A135" s="57" t="s">
        <v>846</v>
      </c>
      <c r="B135" s="57" t="s">
        <v>295</v>
      </c>
      <c r="C135" s="57" t="s">
        <v>849</v>
      </c>
      <c r="D135" s="57" t="s">
        <v>572</v>
      </c>
      <c r="E135" s="57" t="s">
        <v>850</v>
      </c>
      <c r="F135" s="57" t="s">
        <v>1270</v>
      </c>
      <c r="G135" s="78" t="s">
        <v>269</v>
      </c>
      <c r="H135" s="57"/>
      <c r="I135" s="57"/>
      <c r="J135" s="57"/>
      <c r="K135" s="57"/>
      <c r="L135" s="57"/>
    </row>
    <row r="136" spans="1:12" x14ac:dyDescent="0.25">
      <c r="A136" s="57" t="s">
        <v>846</v>
      </c>
      <c r="B136" s="57" t="s">
        <v>295</v>
      </c>
      <c r="C136" s="57" t="s">
        <v>851</v>
      </c>
      <c r="D136" s="57" t="s">
        <v>645</v>
      </c>
      <c r="E136" s="57" t="s">
        <v>852</v>
      </c>
      <c r="F136" s="57" t="s">
        <v>1271</v>
      </c>
      <c r="G136" s="78" t="s">
        <v>269</v>
      </c>
      <c r="H136" s="57"/>
      <c r="I136" s="57"/>
      <c r="J136" s="57"/>
      <c r="K136" s="57"/>
      <c r="L136" s="57"/>
    </row>
    <row r="137" spans="1:12" x14ac:dyDescent="0.25">
      <c r="A137" s="57" t="s">
        <v>846</v>
      </c>
      <c r="B137" s="57" t="s">
        <v>295</v>
      </c>
      <c r="C137" s="57" t="s">
        <v>853</v>
      </c>
      <c r="D137" s="57" t="s">
        <v>854</v>
      </c>
      <c r="E137" s="57" t="s">
        <v>855</v>
      </c>
      <c r="F137" s="57" t="s">
        <v>1272</v>
      </c>
      <c r="G137" s="78" t="s">
        <v>269</v>
      </c>
      <c r="H137" s="57"/>
      <c r="I137" s="57"/>
      <c r="J137" s="57"/>
      <c r="K137" s="57"/>
      <c r="L137" s="57"/>
    </row>
    <row r="138" spans="1:12" x14ac:dyDescent="0.25">
      <c r="A138" s="57" t="s">
        <v>846</v>
      </c>
      <c r="B138" s="57" t="s">
        <v>295</v>
      </c>
      <c r="C138" s="57" t="s">
        <v>856</v>
      </c>
      <c r="D138" s="57" t="s">
        <v>525</v>
      </c>
      <c r="E138" s="57" t="s">
        <v>857</v>
      </c>
      <c r="F138" s="57" t="s">
        <v>1273</v>
      </c>
      <c r="G138" s="78" t="s">
        <v>269</v>
      </c>
      <c r="H138" s="57"/>
      <c r="I138" s="57"/>
      <c r="J138" s="57"/>
      <c r="K138" s="57"/>
      <c r="L138" s="57"/>
    </row>
    <row r="139" spans="1:12" x14ac:dyDescent="0.25">
      <c r="A139" s="57" t="s">
        <v>846</v>
      </c>
      <c r="B139" s="57" t="s">
        <v>295</v>
      </c>
      <c r="C139" s="57" t="s">
        <v>858</v>
      </c>
      <c r="D139" s="57" t="s">
        <v>626</v>
      </c>
      <c r="E139" s="57" t="s">
        <v>859</v>
      </c>
      <c r="F139" s="57" t="s">
        <v>1274</v>
      </c>
      <c r="G139" s="78" t="s">
        <v>269</v>
      </c>
      <c r="H139" s="57"/>
      <c r="I139" s="57"/>
      <c r="J139" s="57"/>
      <c r="K139" s="57"/>
      <c r="L139" s="57"/>
    </row>
    <row r="140" spans="1:12" x14ac:dyDescent="0.25">
      <c r="A140" s="57" t="s">
        <v>846</v>
      </c>
      <c r="B140" s="57" t="s">
        <v>295</v>
      </c>
      <c r="C140" s="57" t="s">
        <v>860</v>
      </c>
      <c r="D140" s="57" t="s">
        <v>306</v>
      </c>
      <c r="E140" s="57" t="s">
        <v>861</v>
      </c>
      <c r="F140" s="57" t="s">
        <v>1275</v>
      </c>
      <c r="G140" s="78" t="s">
        <v>269</v>
      </c>
      <c r="H140" s="57"/>
      <c r="I140" s="57"/>
      <c r="J140" s="57"/>
      <c r="K140" s="57"/>
      <c r="L140" s="57"/>
    </row>
    <row r="141" spans="1:12" x14ac:dyDescent="0.25">
      <c r="A141" s="57" t="s">
        <v>846</v>
      </c>
      <c r="B141" s="57" t="s">
        <v>295</v>
      </c>
      <c r="C141" s="57" t="s">
        <v>862</v>
      </c>
      <c r="D141" s="57" t="s">
        <v>611</v>
      </c>
      <c r="E141" s="57" t="s">
        <v>863</v>
      </c>
      <c r="F141" s="57" t="s">
        <v>1276</v>
      </c>
      <c r="G141" s="78" t="s">
        <v>269</v>
      </c>
      <c r="H141" s="57"/>
      <c r="I141" s="57"/>
      <c r="J141" s="57"/>
      <c r="K141" s="57"/>
      <c r="L141" s="57"/>
    </row>
    <row r="142" spans="1:12" x14ac:dyDescent="0.25">
      <c r="A142" s="57" t="s">
        <v>846</v>
      </c>
      <c r="B142" s="57" t="s">
        <v>295</v>
      </c>
      <c r="C142" s="57" t="s">
        <v>864</v>
      </c>
      <c r="D142" s="57" t="s">
        <v>523</v>
      </c>
      <c r="E142" s="57" t="s">
        <v>865</v>
      </c>
      <c r="F142" s="57" t="s">
        <v>1200</v>
      </c>
      <c r="G142" s="78" t="s">
        <v>269</v>
      </c>
      <c r="H142" s="57"/>
      <c r="I142" s="57"/>
      <c r="J142" s="57"/>
      <c r="K142" s="57"/>
      <c r="L142" s="57"/>
    </row>
    <row r="143" spans="1:12" x14ac:dyDescent="0.25">
      <c r="A143" s="57" t="s">
        <v>846</v>
      </c>
      <c r="B143" s="57" t="s">
        <v>295</v>
      </c>
      <c r="C143" s="57" t="s">
        <v>866</v>
      </c>
      <c r="D143" s="57" t="s">
        <v>523</v>
      </c>
      <c r="E143" s="57" t="s">
        <v>867</v>
      </c>
      <c r="F143" s="57" t="s">
        <v>1277</v>
      </c>
      <c r="G143" s="78" t="s">
        <v>269</v>
      </c>
      <c r="H143" s="57"/>
      <c r="I143" s="57"/>
      <c r="J143" s="57"/>
      <c r="K143" s="57"/>
      <c r="L143" s="57"/>
    </row>
    <row r="144" spans="1:12" x14ac:dyDescent="0.25">
      <c r="A144" s="57" t="s">
        <v>846</v>
      </c>
      <c r="B144" s="57" t="s">
        <v>295</v>
      </c>
      <c r="C144" s="57" t="s">
        <v>868</v>
      </c>
      <c r="D144" s="57" t="s">
        <v>645</v>
      </c>
      <c r="E144" s="57" t="s">
        <v>869</v>
      </c>
      <c r="F144" s="57" t="s">
        <v>1278</v>
      </c>
      <c r="G144" s="78" t="s">
        <v>269</v>
      </c>
      <c r="H144" s="57"/>
      <c r="I144" s="57"/>
      <c r="J144" s="57"/>
      <c r="K144" s="57"/>
      <c r="L144" s="57"/>
    </row>
    <row r="145" spans="1:12" x14ac:dyDescent="0.25">
      <c r="A145" s="57" t="s">
        <v>870</v>
      </c>
      <c r="B145" s="57" t="s">
        <v>295</v>
      </c>
      <c r="C145" s="57" t="s">
        <v>871</v>
      </c>
      <c r="D145" s="57" t="s">
        <v>306</v>
      </c>
      <c r="E145" s="57" t="s">
        <v>872</v>
      </c>
      <c r="F145" s="57" t="s">
        <v>1279</v>
      </c>
      <c r="G145" s="78" t="s">
        <v>269</v>
      </c>
      <c r="H145" s="57"/>
      <c r="I145" s="57"/>
      <c r="J145" s="57"/>
      <c r="K145" s="57"/>
      <c r="L145" s="57"/>
    </row>
    <row r="146" spans="1:12" x14ac:dyDescent="0.25">
      <c r="A146" s="57" t="s">
        <v>846</v>
      </c>
      <c r="B146" s="57" t="s">
        <v>295</v>
      </c>
      <c r="C146" s="57" t="s">
        <v>873</v>
      </c>
      <c r="D146" s="57" t="s">
        <v>306</v>
      </c>
      <c r="E146" s="57" t="s">
        <v>874</v>
      </c>
      <c r="F146" s="57" t="s">
        <v>1280</v>
      </c>
      <c r="G146" s="78" t="s">
        <v>269</v>
      </c>
      <c r="H146" s="57"/>
      <c r="I146" s="57"/>
      <c r="J146" s="57"/>
      <c r="K146" s="57"/>
      <c r="L146" s="57"/>
    </row>
    <row r="147" spans="1:12" x14ac:dyDescent="0.25">
      <c r="A147" s="57" t="s">
        <v>875</v>
      </c>
      <c r="B147" s="57" t="s">
        <v>295</v>
      </c>
      <c r="C147" s="57" t="s">
        <v>876</v>
      </c>
      <c r="D147" s="57" t="s">
        <v>572</v>
      </c>
      <c r="E147" s="57" t="s">
        <v>877</v>
      </c>
      <c r="F147" s="57" t="s">
        <v>1200</v>
      </c>
      <c r="G147" s="78" t="s">
        <v>269</v>
      </c>
      <c r="H147" s="57"/>
      <c r="I147" s="57"/>
      <c r="J147" s="57"/>
      <c r="K147" s="57"/>
      <c r="L147" s="57"/>
    </row>
    <row r="148" spans="1:12" x14ac:dyDescent="0.25">
      <c r="A148" s="57" t="s">
        <v>570</v>
      </c>
      <c r="B148" s="57" t="s">
        <v>878</v>
      </c>
      <c r="C148" s="57" t="s">
        <v>879</v>
      </c>
      <c r="D148" s="57" t="s">
        <v>306</v>
      </c>
      <c r="E148" s="57" t="s">
        <v>880</v>
      </c>
      <c r="F148" s="57" t="s">
        <v>1200</v>
      </c>
      <c r="G148" s="78" t="s">
        <v>269</v>
      </c>
      <c r="H148" s="57"/>
      <c r="I148" s="57"/>
      <c r="J148" s="57"/>
      <c r="K148" s="57"/>
      <c r="L148" s="57"/>
    </row>
    <row r="149" spans="1:12" x14ac:dyDescent="0.25">
      <c r="A149" s="57" t="s">
        <v>881</v>
      </c>
      <c r="B149" s="57" t="s">
        <v>878</v>
      </c>
      <c r="C149" s="57" t="s">
        <v>882</v>
      </c>
      <c r="D149" s="57" t="s">
        <v>525</v>
      </c>
      <c r="E149" s="57" t="s">
        <v>883</v>
      </c>
      <c r="F149" s="57" t="s">
        <v>1200</v>
      </c>
      <c r="G149" s="78" t="s">
        <v>269</v>
      </c>
      <c r="H149" s="57"/>
      <c r="I149" s="57"/>
      <c r="J149" s="57"/>
      <c r="K149" s="57"/>
      <c r="L149" s="57"/>
    </row>
    <row r="150" spans="1:12" x14ac:dyDescent="0.25">
      <c r="A150" s="57" t="s">
        <v>846</v>
      </c>
      <c r="B150" s="57" t="s">
        <v>878</v>
      </c>
      <c r="C150" s="57" t="s">
        <v>884</v>
      </c>
      <c r="D150" s="57" t="s">
        <v>626</v>
      </c>
      <c r="E150" s="57" t="s">
        <v>885</v>
      </c>
      <c r="F150" s="57" t="s">
        <v>1281</v>
      </c>
      <c r="G150" s="78" t="s">
        <v>269</v>
      </c>
      <c r="H150" s="57"/>
      <c r="I150" s="57"/>
      <c r="J150" s="57"/>
      <c r="K150" s="57"/>
      <c r="L150" s="57"/>
    </row>
    <row r="151" spans="1:12" x14ac:dyDescent="0.25">
      <c r="A151" s="57" t="s">
        <v>886</v>
      </c>
      <c r="B151" s="57" t="s">
        <v>468</v>
      </c>
      <c r="C151" s="57" t="s">
        <v>887</v>
      </c>
      <c r="D151" s="57" t="s">
        <v>525</v>
      </c>
      <c r="E151" s="57" t="s">
        <v>888</v>
      </c>
      <c r="F151" s="57" t="s">
        <v>1282</v>
      </c>
      <c r="G151" s="78" t="s">
        <v>269</v>
      </c>
      <c r="H151" s="57"/>
      <c r="I151" s="57"/>
      <c r="J151" s="57"/>
      <c r="K151" s="57"/>
      <c r="L151" s="57"/>
    </row>
    <row r="152" spans="1:12" x14ac:dyDescent="0.25">
      <c r="A152" s="57" t="s">
        <v>827</v>
      </c>
      <c r="B152" s="57" t="s">
        <v>469</v>
      </c>
      <c r="C152" s="57" t="s">
        <v>889</v>
      </c>
      <c r="D152" s="57" t="s">
        <v>645</v>
      </c>
      <c r="E152" s="57" t="s">
        <v>890</v>
      </c>
      <c r="F152" s="57" t="s">
        <v>1200</v>
      </c>
      <c r="G152" s="78" t="s">
        <v>269</v>
      </c>
      <c r="H152" s="57"/>
      <c r="I152" s="57"/>
      <c r="J152" s="57"/>
      <c r="K152" s="57"/>
      <c r="L152" s="57"/>
    </row>
    <row r="153" spans="1:12" x14ac:dyDescent="0.25">
      <c r="A153" s="57" t="s">
        <v>524</v>
      </c>
      <c r="B153" s="57" t="s">
        <v>469</v>
      </c>
      <c r="C153" s="57" t="s">
        <v>891</v>
      </c>
      <c r="D153" s="57" t="s">
        <v>892</v>
      </c>
      <c r="E153" s="57" t="s">
        <v>893</v>
      </c>
      <c r="F153" s="57" t="s">
        <v>1200</v>
      </c>
      <c r="G153" s="78" t="s">
        <v>269</v>
      </c>
      <c r="H153" s="57"/>
      <c r="I153" s="57"/>
      <c r="J153" s="57"/>
      <c r="K153" s="57"/>
      <c r="L153" s="57"/>
    </row>
    <row r="154" spans="1:12" x14ac:dyDescent="0.25">
      <c r="A154" s="57" t="s">
        <v>524</v>
      </c>
      <c r="B154" s="57" t="s">
        <v>469</v>
      </c>
      <c r="C154" s="57" t="s">
        <v>894</v>
      </c>
      <c r="D154" s="57" t="s">
        <v>665</v>
      </c>
      <c r="E154" s="57" t="s">
        <v>895</v>
      </c>
      <c r="F154" s="57" t="s">
        <v>1200</v>
      </c>
      <c r="G154" s="78" t="s">
        <v>269</v>
      </c>
      <c r="H154" s="57"/>
      <c r="I154" s="57"/>
      <c r="J154" s="57"/>
      <c r="K154" s="57"/>
      <c r="L154" s="57"/>
    </row>
    <row r="155" spans="1:12" x14ac:dyDescent="0.25">
      <c r="A155" s="57" t="s">
        <v>896</v>
      </c>
      <c r="B155" s="57" t="s">
        <v>469</v>
      </c>
      <c r="C155" s="57" t="s">
        <v>897</v>
      </c>
      <c r="D155" s="57" t="s">
        <v>626</v>
      </c>
      <c r="E155" s="57" t="s">
        <v>898</v>
      </c>
      <c r="F155" s="57" t="s">
        <v>1200</v>
      </c>
      <c r="G155" s="78" t="s">
        <v>269</v>
      </c>
      <c r="H155" s="57"/>
      <c r="I155" s="57"/>
      <c r="J155" s="57"/>
      <c r="K155" s="57"/>
      <c r="L155" s="57"/>
    </row>
    <row r="156" spans="1:12" x14ac:dyDescent="0.25">
      <c r="A156" s="57" t="s">
        <v>641</v>
      </c>
      <c r="B156" s="57" t="s">
        <v>469</v>
      </c>
      <c r="C156" s="57" t="s">
        <v>899</v>
      </c>
      <c r="D156" s="57" t="s">
        <v>633</v>
      </c>
      <c r="E156" s="57" t="s">
        <v>900</v>
      </c>
      <c r="F156" s="57" t="s">
        <v>1283</v>
      </c>
      <c r="G156" s="78" t="s">
        <v>269</v>
      </c>
      <c r="H156" s="57"/>
      <c r="I156" s="57"/>
      <c r="J156" s="57"/>
      <c r="K156" s="57"/>
      <c r="L156" s="57"/>
    </row>
    <row r="157" spans="1:12" x14ac:dyDescent="0.25">
      <c r="A157" s="57" t="s">
        <v>641</v>
      </c>
      <c r="B157" s="57" t="s">
        <v>469</v>
      </c>
      <c r="C157" s="57" t="s">
        <v>901</v>
      </c>
      <c r="D157" s="57" t="s">
        <v>665</v>
      </c>
      <c r="E157" s="57" t="s">
        <v>902</v>
      </c>
      <c r="F157" s="57" t="s">
        <v>1284</v>
      </c>
      <c r="G157" s="78" t="s">
        <v>269</v>
      </c>
      <c r="H157" s="57"/>
      <c r="I157" s="57"/>
      <c r="J157" s="57"/>
      <c r="K157" s="57"/>
      <c r="L157" s="57"/>
    </row>
    <row r="158" spans="1:12" x14ac:dyDescent="0.25">
      <c r="A158" s="57" t="s">
        <v>792</v>
      </c>
      <c r="B158" s="57" t="s">
        <v>469</v>
      </c>
      <c r="C158" s="57" t="s">
        <v>903</v>
      </c>
      <c r="D158" s="57" t="s">
        <v>568</v>
      </c>
      <c r="E158" s="57" t="s">
        <v>904</v>
      </c>
      <c r="F158" s="57" t="s">
        <v>1285</v>
      </c>
      <c r="G158" s="78" t="s">
        <v>269</v>
      </c>
      <c r="H158" s="57"/>
      <c r="I158" s="57"/>
      <c r="J158" s="57"/>
      <c r="K158" s="57"/>
      <c r="L158" s="57"/>
    </row>
    <row r="159" spans="1:12" x14ac:dyDescent="0.25">
      <c r="A159" s="57" t="s">
        <v>905</v>
      </c>
      <c r="B159" s="57" t="s">
        <v>469</v>
      </c>
      <c r="C159" s="57" t="s">
        <v>906</v>
      </c>
      <c r="D159" s="57" t="s">
        <v>907</v>
      </c>
      <c r="E159" s="57" t="s">
        <v>908</v>
      </c>
      <c r="F159" s="57" t="s">
        <v>1286</v>
      </c>
      <c r="G159" s="78" t="s">
        <v>269</v>
      </c>
      <c r="H159" s="57"/>
      <c r="I159" s="57"/>
      <c r="J159" s="57"/>
      <c r="K159" s="57"/>
      <c r="L159" s="57"/>
    </row>
    <row r="160" spans="1:12" x14ac:dyDescent="0.25">
      <c r="A160" s="57" t="s">
        <v>886</v>
      </c>
      <c r="B160" s="57" t="s">
        <v>470</v>
      </c>
      <c r="C160" s="57" t="s">
        <v>909</v>
      </c>
      <c r="D160" s="57" t="s">
        <v>609</v>
      </c>
      <c r="E160" s="57" t="s">
        <v>478</v>
      </c>
      <c r="F160" s="57" t="s">
        <v>1287</v>
      </c>
      <c r="G160" s="78" t="s">
        <v>269</v>
      </c>
      <c r="H160" s="57"/>
      <c r="I160" s="57"/>
      <c r="J160" s="57"/>
      <c r="K160" s="57"/>
      <c r="L160" s="57"/>
    </row>
    <row r="161" spans="1:12" x14ac:dyDescent="0.25">
      <c r="A161" s="57" t="s">
        <v>479</v>
      </c>
      <c r="B161" s="57" t="s">
        <v>383</v>
      </c>
      <c r="C161" s="57" t="s">
        <v>481</v>
      </c>
      <c r="D161" s="57" t="s">
        <v>626</v>
      </c>
      <c r="E161" s="57" t="s">
        <v>910</v>
      </c>
      <c r="F161" s="57" t="s">
        <v>1288</v>
      </c>
      <c r="G161" s="78" t="s">
        <v>269</v>
      </c>
      <c r="H161" s="57"/>
      <c r="I161" s="57"/>
      <c r="J161" s="57"/>
      <c r="K161" s="57"/>
      <c r="L161" s="57"/>
    </row>
    <row r="162" spans="1:12" x14ac:dyDescent="0.25">
      <c r="A162" s="57" t="s">
        <v>479</v>
      </c>
      <c r="B162" s="57" t="s">
        <v>383</v>
      </c>
      <c r="C162" s="57" t="s">
        <v>480</v>
      </c>
      <c r="D162" s="57" t="s">
        <v>626</v>
      </c>
      <c r="E162" s="57" t="s">
        <v>911</v>
      </c>
      <c r="F162" s="57" t="s">
        <v>1289</v>
      </c>
      <c r="G162" s="78" t="s">
        <v>269</v>
      </c>
      <c r="H162" s="57"/>
      <c r="I162" s="57"/>
      <c r="J162" s="57"/>
      <c r="K162" s="57"/>
      <c r="L162" s="57"/>
    </row>
    <row r="163" spans="1:12" x14ac:dyDescent="0.25">
      <c r="A163" s="57" t="s">
        <v>827</v>
      </c>
      <c r="B163" s="57" t="s">
        <v>383</v>
      </c>
      <c r="C163" s="57" t="s">
        <v>912</v>
      </c>
      <c r="D163" s="57" t="s">
        <v>523</v>
      </c>
      <c r="E163" s="57" t="s">
        <v>913</v>
      </c>
      <c r="F163" s="57" t="s">
        <v>1200</v>
      </c>
      <c r="G163" s="78" t="s">
        <v>269</v>
      </c>
      <c r="H163" s="57"/>
      <c r="I163" s="57"/>
      <c r="J163" s="57"/>
      <c r="K163" s="57"/>
      <c r="L163" s="57"/>
    </row>
    <row r="164" spans="1:12" x14ac:dyDescent="0.25">
      <c r="A164" s="57" t="s">
        <v>641</v>
      </c>
      <c r="B164" s="57" t="s">
        <v>383</v>
      </c>
      <c r="C164" s="57" t="s">
        <v>914</v>
      </c>
      <c r="D164" s="57" t="s">
        <v>572</v>
      </c>
      <c r="E164" s="57" t="s">
        <v>915</v>
      </c>
      <c r="F164" s="57" t="s">
        <v>1290</v>
      </c>
      <c r="G164" s="78" t="s">
        <v>269</v>
      </c>
      <c r="H164" s="57"/>
      <c r="I164" s="57"/>
      <c r="J164" s="57"/>
      <c r="K164" s="57"/>
      <c r="L164" s="57"/>
    </row>
    <row r="165" spans="1:12" x14ac:dyDescent="0.25">
      <c r="A165" s="57" t="s">
        <v>827</v>
      </c>
      <c r="B165" s="57" t="s">
        <v>471</v>
      </c>
      <c r="C165" s="57" t="s">
        <v>916</v>
      </c>
      <c r="D165" s="57" t="s">
        <v>633</v>
      </c>
      <c r="E165" s="57" t="s">
        <v>917</v>
      </c>
      <c r="F165" s="57" t="s">
        <v>1200</v>
      </c>
      <c r="G165" s="78" t="s">
        <v>269</v>
      </c>
      <c r="H165" s="57"/>
      <c r="I165" s="57"/>
      <c r="J165" s="57"/>
      <c r="K165" s="57"/>
      <c r="L165" s="57"/>
    </row>
    <row r="166" spans="1:12" x14ac:dyDescent="0.25">
      <c r="A166" s="57" t="s">
        <v>918</v>
      </c>
      <c r="B166" s="57" t="s">
        <v>919</v>
      </c>
      <c r="C166" s="57" t="s">
        <v>920</v>
      </c>
      <c r="D166" s="57" t="s">
        <v>523</v>
      </c>
      <c r="E166" s="57" t="s">
        <v>921</v>
      </c>
      <c r="F166" s="57" t="s">
        <v>1200</v>
      </c>
      <c r="G166" s="78" t="s">
        <v>269</v>
      </c>
      <c r="H166" s="57"/>
      <c r="I166" s="57"/>
      <c r="J166" s="57"/>
      <c r="K166" s="57"/>
      <c r="L166" s="57"/>
    </row>
    <row r="167" spans="1:12" x14ac:dyDescent="0.25">
      <c r="A167" s="57" t="s">
        <v>922</v>
      </c>
      <c r="B167" s="57" t="s">
        <v>296</v>
      </c>
      <c r="C167" s="57" t="s">
        <v>923</v>
      </c>
      <c r="D167" s="57" t="s">
        <v>572</v>
      </c>
      <c r="E167" s="57" t="s">
        <v>924</v>
      </c>
      <c r="F167" s="57" t="s">
        <v>1291</v>
      </c>
      <c r="G167" s="78" t="s">
        <v>269</v>
      </c>
      <c r="H167" s="57"/>
      <c r="I167" s="57"/>
      <c r="J167" s="57"/>
      <c r="K167" s="57"/>
      <c r="L167" s="57"/>
    </row>
    <row r="168" spans="1:12" x14ac:dyDescent="0.25">
      <c r="A168" s="57" t="s">
        <v>922</v>
      </c>
      <c r="B168" s="57" t="s">
        <v>296</v>
      </c>
      <c r="C168" s="57" t="s">
        <v>925</v>
      </c>
      <c r="D168" s="57" t="s">
        <v>665</v>
      </c>
      <c r="E168" s="57" t="s">
        <v>926</v>
      </c>
      <c r="F168" s="57" t="s">
        <v>1200</v>
      </c>
      <c r="G168" s="78" t="s">
        <v>269</v>
      </c>
      <c r="H168" s="57"/>
      <c r="I168" s="57"/>
      <c r="J168" s="57"/>
      <c r="K168" s="57"/>
      <c r="L168" s="57"/>
    </row>
    <row r="169" spans="1:12" x14ac:dyDescent="0.25">
      <c r="A169" s="57" t="s">
        <v>922</v>
      </c>
      <c r="B169" s="57" t="s">
        <v>296</v>
      </c>
      <c r="C169" s="57" t="s">
        <v>927</v>
      </c>
      <c r="D169" s="57" t="s">
        <v>525</v>
      </c>
      <c r="E169" s="57" t="s">
        <v>928</v>
      </c>
      <c r="F169" s="57" t="s">
        <v>1292</v>
      </c>
      <c r="G169" s="78" t="s">
        <v>269</v>
      </c>
      <c r="H169" s="57"/>
      <c r="I169" s="57"/>
      <c r="J169" s="57"/>
      <c r="K169" s="57"/>
      <c r="L169" s="57"/>
    </row>
    <row r="170" spans="1:12" x14ac:dyDescent="0.25">
      <c r="A170" s="57" t="s">
        <v>922</v>
      </c>
      <c r="B170" s="57" t="s">
        <v>296</v>
      </c>
      <c r="C170" s="57" t="s">
        <v>929</v>
      </c>
      <c r="D170" s="57" t="s">
        <v>525</v>
      </c>
      <c r="E170" s="57" t="s">
        <v>930</v>
      </c>
      <c r="F170" s="57" t="s">
        <v>1293</v>
      </c>
      <c r="G170" s="78" t="s">
        <v>269</v>
      </c>
      <c r="H170" s="57"/>
      <c r="I170" s="57"/>
      <c r="J170" s="57"/>
      <c r="K170" s="57"/>
      <c r="L170" s="57"/>
    </row>
    <row r="171" spans="1:12" x14ac:dyDescent="0.25">
      <c r="A171" s="57" t="s">
        <v>922</v>
      </c>
      <c r="B171" s="57" t="s">
        <v>296</v>
      </c>
      <c r="C171" s="57" t="s">
        <v>931</v>
      </c>
      <c r="D171" s="57" t="s">
        <v>932</v>
      </c>
      <c r="E171" s="57" t="s">
        <v>933</v>
      </c>
      <c r="F171" s="57" t="s">
        <v>1294</v>
      </c>
      <c r="G171" s="78" t="s">
        <v>269</v>
      </c>
      <c r="H171" s="57"/>
      <c r="I171" s="57"/>
      <c r="J171" s="57"/>
      <c r="K171" s="57"/>
      <c r="L171" s="57"/>
    </row>
    <row r="172" spans="1:12" x14ac:dyDescent="0.25">
      <c r="A172" s="57" t="s">
        <v>934</v>
      </c>
      <c r="B172" s="57" t="s">
        <v>296</v>
      </c>
      <c r="C172" s="57" t="s">
        <v>935</v>
      </c>
      <c r="D172" s="57" t="s">
        <v>932</v>
      </c>
      <c r="E172" s="57" t="s">
        <v>936</v>
      </c>
      <c r="F172" s="57" t="s">
        <v>1200</v>
      </c>
      <c r="G172" s="78" t="s">
        <v>269</v>
      </c>
      <c r="H172" s="57"/>
      <c r="I172" s="57"/>
      <c r="J172" s="57"/>
      <c r="K172" s="57"/>
      <c r="L172" s="57"/>
    </row>
    <row r="173" spans="1:12" x14ac:dyDescent="0.25">
      <c r="A173" s="57" t="s">
        <v>937</v>
      </c>
      <c r="B173" s="57" t="s">
        <v>296</v>
      </c>
      <c r="C173" s="57" t="s">
        <v>938</v>
      </c>
      <c r="D173" s="57" t="s">
        <v>523</v>
      </c>
      <c r="E173" s="57" t="s">
        <v>939</v>
      </c>
      <c r="F173" s="57" t="s">
        <v>1200</v>
      </c>
      <c r="G173" s="78" t="s">
        <v>269</v>
      </c>
      <c r="H173" s="57"/>
      <c r="I173" s="57"/>
      <c r="J173" s="57"/>
      <c r="K173" s="57"/>
      <c r="L173" s="57"/>
    </row>
    <row r="174" spans="1:12" x14ac:dyDescent="0.25">
      <c r="A174" s="57" t="s">
        <v>456</v>
      </c>
      <c r="B174" s="57" t="s">
        <v>309</v>
      </c>
      <c r="C174" s="57" t="s">
        <v>940</v>
      </c>
      <c r="D174" s="57" t="s">
        <v>525</v>
      </c>
      <c r="E174" s="57" t="s">
        <v>941</v>
      </c>
      <c r="F174" s="57" t="s">
        <v>1295</v>
      </c>
      <c r="G174" s="78" t="s">
        <v>269</v>
      </c>
      <c r="H174" s="57"/>
      <c r="I174" s="57"/>
      <c r="J174" s="57"/>
      <c r="K174" s="57"/>
      <c r="L174" s="57"/>
    </row>
    <row r="175" spans="1:12" x14ac:dyDescent="0.25">
      <c r="A175" s="57" t="s">
        <v>524</v>
      </c>
      <c r="B175" s="57" t="s">
        <v>309</v>
      </c>
      <c r="C175" s="57" t="s">
        <v>942</v>
      </c>
      <c r="D175" s="57" t="s">
        <v>568</v>
      </c>
      <c r="E175" s="57" t="s">
        <v>943</v>
      </c>
      <c r="F175" s="57" t="s">
        <v>1200</v>
      </c>
      <c r="G175" s="78" t="s">
        <v>269</v>
      </c>
      <c r="H175" s="57"/>
      <c r="I175" s="57"/>
      <c r="J175" s="57"/>
      <c r="K175" s="57"/>
      <c r="L175" s="57"/>
    </row>
    <row r="176" spans="1:12" x14ac:dyDescent="0.25">
      <c r="A176" s="57" t="s">
        <v>524</v>
      </c>
      <c r="B176" s="57" t="s">
        <v>309</v>
      </c>
      <c r="C176" s="57" t="s">
        <v>944</v>
      </c>
      <c r="D176" s="57" t="s">
        <v>945</v>
      </c>
      <c r="E176" s="57" t="s">
        <v>946</v>
      </c>
      <c r="F176" s="57" t="s">
        <v>1200</v>
      </c>
      <c r="G176" s="78" t="s">
        <v>269</v>
      </c>
      <c r="H176" s="57"/>
      <c r="I176" s="57"/>
      <c r="J176" s="57"/>
      <c r="K176" s="57"/>
      <c r="L176" s="57"/>
    </row>
    <row r="177" spans="1:12" x14ac:dyDescent="0.25">
      <c r="A177" s="57" t="s">
        <v>947</v>
      </c>
      <c r="B177" s="57" t="s">
        <v>309</v>
      </c>
      <c r="C177" s="57" t="s">
        <v>948</v>
      </c>
      <c r="D177" s="57" t="s">
        <v>626</v>
      </c>
      <c r="E177" s="57" t="s">
        <v>949</v>
      </c>
      <c r="F177" s="57" t="s">
        <v>1296</v>
      </c>
      <c r="G177" s="78" t="s">
        <v>269</v>
      </c>
      <c r="H177" s="57"/>
      <c r="I177" s="57"/>
      <c r="J177" s="57"/>
      <c r="K177" s="57"/>
      <c r="L177" s="57"/>
    </row>
    <row r="178" spans="1:12" x14ac:dyDescent="0.25">
      <c r="A178" s="57" t="s">
        <v>950</v>
      </c>
      <c r="B178" s="57" t="s">
        <v>297</v>
      </c>
      <c r="C178" s="57" t="s">
        <v>951</v>
      </c>
      <c r="D178" s="57" t="s">
        <v>523</v>
      </c>
      <c r="E178" s="57" t="s">
        <v>952</v>
      </c>
      <c r="F178" s="57" t="s">
        <v>1297</v>
      </c>
      <c r="G178" s="78" t="s">
        <v>269</v>
      </c>
      <c r="H178" s="57"/>
      <c r="I178" s="57"/>
      <c r="J178" s="57"/>
      <c r="K178" s="57"/>
      <c r="L178" s="57"/>
    </row>
    <row r="179" spans="1:12" x14ac:dyDescent="0.25">
      <c r="A179" s="57" t="s">
        <v>953</v>
      </c>
      <c r="B179" s="57" t="s">
        <v>297</v>
      </c>
      <c r="C179" s="57" t="s">
        <v>954</v>
      </c>
      <c r="D179" s="57" t="s">
        <v>645</v>
      </c>
      <c r="E179" s="57" t="s">
        <v>955</v>
      </c>
      <c r="F179" s="57" t="s">
        <v>1298</v>
      </c>
      <c r="G179" s="78" t="s">
        <v>269</v>
      </c>
      <c r="H179" s="57"/>
      <c r="I179" s="57"/>
      <c r="J179" s="57"/>
      <c r="K179" s="57"/>
      <c r="L179" s="57"/>
    </row>
    <row r="180" spans="1:12" x14ac:dyDescent="0.25">
      <c r="A180" s="57" t="s">
        <v>953</v>
      </c>
      <c r="B180" s="57" t="s">
        <v>297</v>
      </c>
      <c r="C180" s="57" t="s">
        <v>956</v>
      </c>
      <c r="D180" s="57" t="s">
        <v>306</v>
      </c>
      <c r="E180" s="57" t="s">
        <v>957</v>
      </c>
      <c r="F180" s="57" t="s">
        <v>1299</v>
      </c>
      <c r="G180" s="78" t="s">
        <v>269</v>
      </c>
      <c r="H180" s="57"/>
      <c r="I180" s="57"/>
      <c r="J180" s="57"/>
      <c r="K180" s="57"/>
      <c r="L180" s="57"/>
    </row>
    <row r="181" spans="1:12" x14ac:dyDescent="0.25">
      <c r="A181" s="57" t="s">
        <v>886</v>
      </c>
      <c r="B181" s="57" t="s">
        <v>958</v>
      </c>
      <c r="C181" s="57" t="s">
        <v>959</v>
      </c>
      <c r="D181" s="57" t="s">
        <v>633</v>
      </c>
      <c r="E181" s="57" t="s">
        <v>158</v>
      </c>
      <c r="F181" s="57" t="s">
        <v>1300</v>
      </c>
      <c r="G181" s="78" t="s">
        <v>269</v>
      </c>
      <c r="H181" s="57"/>
      <c r="I181" s="57"/>
      <c r="J181" s="57"/>
      <c r="K181" s="57"/>
      <c r="L181" s="57"/>
    </row>
    <row r="182" spans="1:12" x14ac:dyDescent="0.25">
      <c r="A182" s="57" t="s">
        <v>886</v>
      </c>
      <c r="B182" s="57" t="s">
        <v>958</v>
      </c>
      <c r="C182" s="57" t="s">
        <v>960</v>
      </c>
      <c r="D182" s="57" t="s">
        <v>645</v>
      </c>
      <c r="E182" s="57" t="s">
        <v>961</v>
      </c>
      <c r="F182" s="57" t="s">
        <v>1301</v>
      </c>
      <c r="G182" s="78" t="s">
        <v>269</v>
      </c>
      <c r="H182" s="57"/>
      <c r="I182" s="57"/>
      <c r="J182" s="57"/>
      <c r="K182" s="57"/>
      <c r="L182" s="57"/>
    </row>
    <row r="183" spans="1:12" x14ac:dyDescent="0.25">
      <c r="A183" s="57" t="s">
        <v>524</v>
      </c>
      <c r="B183" s="57" t="s">
        <v>298</v>
      </c>
      <c r="C183" s="57" t="s">
        <v>962</v>
      </c>
      <c r="D183" s="57" t="s">
        <v>963</v>
      </c>
      <c r="E183" s="57" t="s">
        <v>964</v>
      </c>
      <c r="F183" s="57" t="s">
        <v>1200</v>
      </c>
      <c r="G183" s="78" t="s">
        <v>269</v>
      </c>
      <c r="H183" s="57"/>
      <c r="I183" s="57"/>
      <c r="J183" s="57"/>
      <c r="K183" s="57"/>
      <c r="L183" s="57"/>
    </row>
    <row r="184" spans="1:12" x14ac:dyDescent="0.25">
      <c r="A184" s="57" t="s">
        <v>524</v>
      </c>
      <c r="B184" s="57" t="s">
        <v>298</v>
      </c>
      <c r="C184" s="57" t="s">
        <v>965</v>
      </c>
      <c r="D184" s="57" t="s">
        <v>966</v>
      </c>
      <c r="E184" s="57" t="s">
        <v>967</v>
      </c>
      <c r="F184" s="57" t="s">
        <v>1200</v>
      </c>
      <c r="G184" s="78" t="s">
        <v>269</v>
      </c>
      <c r="H184" s="57"/>
      <c r="I184" s="57"/>
      <c r="J184" s="57"/>
      <c r="K184" s="57"/>
      <c r="L184" s="57"/>
    </row>
    <row r="185" spans="1:12" x14ac:dyDescent="0.25">
      <c r="A185" s="57" t="s">
        <v>657</v>
      </c>
      <c r="B185" s="57" t="s">
        <v>298</v>
      </c>
      <c r="C185" s="57" t="s">
        <v>968</v>
      </c>
      <c r="D185" s="57" t="s">
        <v>611</v>
      </c>
      <c r="E185" s="57" t="s">
        <v>969</v>
      </c>
      <c r="F185" s="57" t="s">
        <v>1302</v>
      </c>
      <c r="G185" s="78" t="s">
        <v>269</v>
      </c>
      <c r="H185" s="57"/>
      <c r="I185" s="57"/>
      <c r="J185" s="57"/>
      <c r="K185" s="57"/>
      <c r="L185" s="57"/>
    </row>
    <row r="186" spans="1:12" x14ac:dyDescent="0.25">
      <c r="A186" s="57" t="s">
        <v>657</v>
      </c>
      <c r="B186" s="57" t="s">
        <v>407</v>
      </c>
      <c r="C186" s="57" t="s">
        <v>970</v>
      </c>
      <c r="D186" s="57" t="s">
        <v>322</v>
      </c>
      <c r="E186" s="57" t="s">
        <v>971</v>
      </c>
      <c r="F186" s="57" t="s">
        <v>1303</v>
      </c>
      <c r="G186" s="78" t="s">
        <v>269</v>
      </c>
      <c r="H186" s="57"/>
      <c r="I186" s="57"/>
      <c r="J186" s="57"/>
      <c r="K186" s="57"/>
      <c r="L186" s="57"/>
    </row>
    <row r="187" spans="1:12" x14ac:dyDescent="0.25">
      <c r="A187" s="57" t="s">
        <v>570</v>
      </c>
      <c r="B187" s="57" t="s">
        <v>972</v>
      </c>
      <c r="C187" s="57" t="s">
        <v>973</v>
      </c>
      <c r="D187" s="57" t="s">
        <v>932</v>
      </c>
      <c r="E187" s="57" t="s">
        <v>974</v>
      </c>
      <c r="F187" s="57" t="s">
        <v>1200</v>
      </c>
      <c r="G187" s="78" t="s">
        <v>269</v>
      </c>
      <c r="H187" s="57"/>
      <c r="I187" s="57"/>
      <c r="J187" s="57"/>
      <c r="K187" s="57"/>
      <c r="L187" s="57"/>
    </row>
    <row r="188" spans="1:12" x14ac:dyDescent="0.25">
      <c r="A188" s="57" t="s">
        <v>342</v>
      </c>
      <c r="B188" s="57" t="s">
        <v>299</v>
      </c>
      <c r="C188" s="57" t="s">
        <v>501</v>
      </c>
      <c r="D188" s="57" t="s">
        <v>568</v>
      </c>
      <c r="E188" s="57" t="s">
        <v>975</v>
      </c>
      <c r="F188" s="57" t="s">
        <v>1304</v>
      </c>
      <c r="G188" s="78" t="s">
        <v>269</v>
      </c>
      <c r="H188" s="57"/>
      <c r="I188" s="57"/>
      <c r="J188" s="57"/>
      <c r="K188" s="57"/>
      <c r="L188" s="57"/>
    </row>
    <row r="189" spans="1:12" x14ac:dyDescent="0.25">
      <c r="A189" s="57" t="s">
        <v>754</v>
      </c>
      <c r="B189" s="57" t="s">
        <v>299</v>
      </c>
      <c r="C189" s="57" t="s">
        <v>976</v>
      </c>
      <c r="D189" s="57" t="s">
        <v>609</v>
      </c>
      <c r="E189" s="57" t="s">
        <v>977</v>
      </c>
      <c r="F189" s="57" t="s">
        <v>1305</v>
      </c>
      <c r="G189" s="78" t="s">
        <v>269</v>
      </c>
      <c r="H189" s="57"/>
      <c r="I189" s="57"/>
      <c r="J189" s="57"/>
      <c r="K189" s="57"/>
      <c r="L189" s="57"/>
    </row>
    <row r="190" spans="1:12" x14ac:dyDescent="0.25">
      <c r="A190" s="57" t="s">
        <v>754</v>
      </c>
      <c r="B190" s="57" t="s">
        <v>299</v>
      </c>
      <c r="C190" s="57" t="s">
        <v>978</v>
      </c>
      <c r="D190" s="57" t="s">
        <v>525</v>
      </c>
      <c r="E190" s="57" t="s">
        <v>979</v>
      </c>
      <c r="F190" s="57" t="s">
        <v>1306</v>
      </c>
      <c r="G190" s="78" t="s">
        <v>269</v>
      </c>
      <c r="H190" s="57"/>
      <c r="I190" s="57"/>
      <c r="J190" s="57"/>
      <c r="K190" s="57"/>
      <c r="L190" s="57"/>
    </row>
    <row r="191" spans="1:12" x14ac:dyDescent="0.25">
      <c r="A191" s="57" t="s">
        <v>327</v>
      </c>
      <c r="B191" s="57" t="s">
        <v>299</v>
      </c>
      <c r="C191" s="57" t="s">
        <v>980</v>
      </c>
      <c r="D191" s="57" t="s">
        <v>568</v>
      </c>
      <c r="E191" s="57" t="s">
        <v>981</v>
      </c>
      <c r="F191" s="57" t="s">
        <v>1307</v>
      </c>
      <c r="G191" s="78" t="s">
        <v>269</v>
      </c>
      <c r="H191" s="57"/>
      <c r="I191" s="57"/>
      <c r="J191" s="57"/>
      <c r="K191" s="57"/>
      <c r="L191" s="57"/>
    </row>
    <row r="192" spans="1:12" x14ac:dyDescent="0.25">
      <c r="A192" s="57" t="s">
        <v>386</v>
      </c>
      <c r="B192" s="57" t="s">
        <v>299</v>
      </c>
      <c r="C192" s="57" t="s">
        <v>982</v>
      </c>
      <c r="D192" s="57" t="s">
        <v>568</v>
      </c>
      <c r="E192" s="57" t="s">
        <v>983</v>
      </c>
      <c r="F192" s="57" t="s">
        <v>1308</v>
      </c>
      <c r="G192" s="78" t="s">
        <v>269</v>
      </c>
      <c r="H192" s="57"/>
      <c r="I192" s="57"/>
      <c r="J192" s="57"/>
      <c r="K192" s="57"/>
      <c r="L192" s="57"/>
    </row>
    <row r="193" spans="1:12" x14ac:dyDescent="0.25">
      <c r="A193" s="57" t="s">
        <v>524</v>
      </c>
      <c r="B193" s="57" t="s">
        <v>299</v>
      </c>
      <c r="C193" s="57" t="s">
        <v>984</v>
      </c>
      <c r="D193" s="57" t="s">
        <v>605</v>
      </c>
      <c r="E193" s="57" t="s">
        <v>985</v>
      </c>
      <c r="F193" s="57" t="s">
        <v>1200</v>
      </c>
      <c r="G193" s="78" t="s">
        <v>269</v>
      </c>
      <c r="H193" s="57"/>
      <c r="I193" s="57"/>
      <c r="J193" s="57"/>
      <c r="K193" s="57"/>
      <c r="L193" s="57"/>
    </row>
    <row r="194" spans="1:12" x14ac:dyDescent="0.25">
      <c r="A194" s="57" t="s">
        <v>378</v>
      </c>
      <c r="B194" s="57" t="s">
        <v>299</v>
      </c>
      <c r="C194" s="57" t="s">
        <v>986</v>
      </c>
      <c r="D194" s="57" t="s">
        <v>307</v>
      </c>
      <c r="E194" s="57" t="s">
        <v>987</v>
      </c>
      <c r="F194" s="57" t="s">
        <v>1309</v>
      </c>
      <c r="G194" s="78" t="s">
        <v>269</v>
      </c>
      <c r="H194" s="57"/>
      <c r="I194" s="57"/>
      <c r="J194" s="57"/>
      <c r="K194" s="57"/>
      <c r="L194" s="57"/>
    </row>
    <row r="195" spans="1:12" x14ac:dyDescent="0.25">
      <c r="A195" s="57" t="s">
        <v>460</v>
      </c>
      <c r="B195" s="57" t="s">
        <v>299</v>
      </c>
      <c r="C195" s="57" t="s">
        <v>988</v>
      </c>
      <c r="D195" s="57" t="s">
        <v>626</v>
      </c>
      <c r="E195" s="57" t="s">
        <v>989</v>
      </c>
      <c r="F195" s="57" t="s">
        <v>1310</v>
      </c>
      <c r="G195" s="78" t="s">
        <v>269</v>
      </c>
      <c r="H195" s="57"/>
      <c r="I195" s="57"/>
      <c r="J195" s="57"/>
      <c r="K195" s="57"/>
      <c r="L195" s="57"/>
    </row>
    <row r="196" spans="1:12" x14ac:dyDescent="0.25">
      <c r="A196" s="57" t="s">
        <v>460</v>
      </c>
      <c r="B196" s="57" t="s">
        <v>299</v>
      </c>
      <c r="C196" s="57" t="s">
        <v>990</v>
      </c>
      <c r="D196" s="57" t="s">
        <v>525</v>
      </c>
      <c r="E196" s="57" t="s">
        <v>991</v>
      </c>
      <c r="F196" s="57" t="s">
        <v>1311</v>
      </c>
      <c r="G196" s="78" t="s">
        <v>269</v>
      </c>
      <c r="H196" s="57"/>
      <c r="I196" s="57"/>
      <c r="J196" s="57"/>
      <c r="K196" s="57"/>
      <c r="L196" s="57"/>
    </row>
    <row r="197" spans="1:12" x14ac:dyDescent="0.25">
      <c r="A197" s="57" t="s">
        <v>460</v>
      </c>
      <c r="B197" s="57" t="s">
        <v>299</v>
      </c>
      <c r="C197" s="57" t="s">
        <v>992</v>
      </c>
      <c r="D197" s="57" t="s">
        <v>645</v>
      </c>
      <c r="E197" s="57" t="s">
        <v>467</v>
      </c>
      <c r="F197" s="57" t="s">
        <v>1312</v>
      </c>
      <c r="G197" s="78" t="s">
        <v>269</v>
      </c>
      <c r="H197" s="57"/>
      <c r="I197" s="57"/>
      <c r="J197" s="57"/>
      <c r="K197" s="57"/>
      <c r="L197" s="57"/>
    </row>
    <row r="198" spans="1:12" x14ac:dyDescent="0.25">
      <c r="A198" s="57" t="s">
        <v>460</v>
      </c>
      <c r="B198" s="57" t="s">
        <v>299</v>
      </c>
      <c r="C198" s="57" t="s">
        <v>993</v>
      </c>
      <c r="D198" s="57" t="s">
        <v>645</v>
      </c>
      <c r="E198" s="57" t="s">
        <v>994</v>
      </c>
      <c r="F198" s="57" t="s">
        <v>1313</v>
      </c>
      <c r="G198" s="78" t="s">
        <v>269</v>
      </c>
      <c r="H198" s="57"/>
      <c r="I198" s="57"/>
      <c r="J198" s="57"/>
      <c r="K198" s="57"/>
      <c r="L198" s="57"/>
    </row>
    <row r="199" spans="1:12" x14ac:dyDescent="0.25">
      <c r="A199" s="57" t="s">
        <v>995</v>
      </c>
      <c r="B199" s="57" t="s">
        <v>299</v>
      </c>
      <c r="C199" s="57" t="s">
        <v>996</v>
      </c>
      <c r="D199" s="57" t="s">
        <v>525</v>
      </c>
      <c r="E199" s="57" t="s">
        <v>997</v>
      </c>
      <c r="F199" s="57" t="s">
        <v>1200</v>
      </c>
      <c r="G199" s="78" t="s">
        <v>269</v>
      </c>
      <c r="H199" s="57"/>
      <c r="I199" s="57"/>
      <c r="J199" s="57"/>
      <c r="K199" s="57"/>
      <c r="L199" s="57"/>
    </row>
    <row r="200" spans="1:12" x14ac:dyDescent="0.25">
      <c r="A200" s="57" t="s">
        <v>483</v>
      </c>
      <c r="B200" s="57" t="s">
        <v>998</v>
      </c>
      <c r="C200" s="57" t="s">
        <v>999</v>
      </c>
      <c r="D200" s="57" t="s">
        <v>526</v>
      </c>
      <c r="E200" s="57" t="s">
        <v>485</v>
      </c>
      <c r="F200" s="57" t="s">
        <v>1314</v>
      </c>
      <c r="G200" s="78" t="s">
        <v>269</v>
      </c>
      <c r="H200" s="57"/>
      <c r="I200" s="57"/>
      <c r="J200" s="57"/>
      <c r="K200" s="57"/>
      <c r="L200" s="57"/>
    </row>
    <row r="201" spans="1:12" x14ac:dyDescent="0.25">
      <c r="A201" s="57" t="s">
        <v>483</v>
      </c>
      <c r="B201" s="57" t="s">
        <v>998</v>
      </c>
      <c r="C201" s="57" t="s">
        <v>1000</v>
      </c>
      <c r="D201" s="57" t="s">
        <v>626</v>
      </c>
      <c r="E201" s="57" t="s">
        <v>484</v>
      </c>
      <c r="F201" s="57" t="s">
        <v>1315</v>
      </c>
      <c r="G201" s="78" t="s">
        <v>269</v>
      </c>
      <c r="H201" s="57"/>
      <c r="I201" s="57"/>
      <c r="J201" s="57"/>
      <c r="K201" s="57"/>
      <c r="L201" s="57"/>
    </row>
    <row r="202" spans="1:12" x14ac:dyDescent="0.25">
      <c r="A202" s="57" t="s">
        <v>483</v>
      </c>
      <c r="B202" s="57" t="s">
        <v>998</v>
      </c>
      <c r="C202" s="57" t="s">
        <v>1001</v>
      </c>
      <c r="D202" s="57" t="s">
        <v>1002</v>
      </c>
      <c r="E202" s="57" t="s">
        <v>494</v>
      </c>
      <c r="F202" s="57" t="s">
        <v>1316</v>
      </c>
      <c r="G202" s="78" t="s">
        <v>269</v>
      </c>
      <c r="H202" s="57"/>
      <c r="I202" s="57"/>
      <c r="J202" s="57"/>
      <c r="K202" s="57"/>
      <c r="L202" s="57"/>
    </row>
    <row r="203" spans="1:12" x14ac:dyDescent="0.25">
      <c r="A203" s="57" t="s">
        <v>570</v>
      </c>
      <c r="B203" s="57" t="s">
        <v>1003</v>
      </c>
      <c r="C203" s="57" t="s">
        <v>1004</v>
      </c>
      <c r="D203" s="57" t="s">
        <v>609</v>
      </c>
      <c r="E203" s="57" t="s">
        <v>1005</v>
      </c>
      <c r="F203" s="57" t="s">
        <v>1200</v>
      </c>
      <c r="G203" s="78" t="s">
        <v>269</v>
      </c>
      <c r="H203" s="57"/>
      <c r="I203" s="57"/>
      <c r="J203" s="57"/>
      <c r="K203" s="57"/>
      <c r="L203" s="57"/>
    </row>
    <row r="204" spans="1:12" x14ac:dyDescent="0.25">
      <c r="A204" s="57" t="s">
        <v>918</v>
      </c>
      <c r="B204" s="57" t="s">
        <v>328</v>
      </c>
      <c r="C204" s="57" t="s">
        <v>1006</v>
      </c>
      <c r="D204" s="57" t="s">
        <v>525</v>
      </c>
      <c r="E204" s="57" t="s">
        <v>1007</v>
      </c>
      <c r="F204" s="57" t="s">
        <v>1317</v>
      </c>
      <c r="G204" s="78" t="s">
        <v>269</v>
      </c>
      <c r="H204" s="57"/>
      <c r="I204" s="57"/>
      <c r="J204" s="57"/>
      <c r="K204" s="57"/>
      <c r="L204" s="57"/>
    </row>
    <row r="205" spans="1:12" x14ac:dyDescent="0.25">
      <c r="A205" s="57" t="s">
        <v>657</v>
      </c>
      <c r="B205" s="57" t="s">
        <v>328</v>
      </c>
      <c r="C205" s="57" t="s">
        <v>1008</v>
      </c>
      <c r="D205" s="57" t="s">
        <v>698</v>
      </c>
      <c r="E205" s="57" t="s">
        <v>1009</v>
      </c>
      <c r="F205" s="57" t="s">
        <v>1318</v>
      </c>
      <c r="G205" s="78" t="s">
        <v>269</v>
      </c>
      <c r="H205" s="57"/>
      <c r="I205" s="57"/>
      <c r="J205" s="57"/>
      <c r="K205" s="57"/>
      <c r="L205" s="57"/>
    </row>
    <row r="206" spans="1:12" x14ac:dyDescent="0.25">
      <c r="A206" s="57" t="s">
        <v>524</v>
      </c>
      <c r="B206" s="57" t="s">
        <v>1010</v>
      </c>
      <c r="C206" s="57" t="s">
        <v>767</v>
      </c>
      <c r="D206" s="57" t="s">
        <v>1011</v>
      </c>
      <c r="E206" s="57" t="s">
        <v>772</v>
      </c>
      <c r="F206" s="57" t="s">
        <v>1200</v>
      </c>
      <c r="G206" s="78" t="s">
        <v>269</v>
      </c>
      <c r="H206" s="57"/>
      <c r="I206" s="57"/>
      <c r="J206" s="57"/>
      <c r="K206" s="57"/>
      <c r="L206" s="57"/>
    </row>
    <row r="207" spans="1:12" x14ac:dyDescent="0.25">
      <c r="A207" s="57" t="s">
        <v>524</v>
      </c>
      <c r="B207" s="57" t="s">
        <v>1010</v>
      </c>
      <c r="C207" s="57" t="s">
        <v>769</v>
      </c>
      <c r="D207" s="57" t="s">
        <v>892</v>
      </c>
      <c r="E207" s="57" t="s">
        <v>770</v>
      </c>
      <c r="F207" s="57" t="s">
        <v>1200</v>
      </c>
      <c r="G207" s="78" t="s">
        <v>269</v>
      </c>
      <c r="H207" s="57"/>
      <c r="I207" s="57"/>
      <c r="J207" s="57"/>
      <c r="K207" s="57"/>
      <c r="L207" s="57"/>
    </row>
    <row r="208" spans="1:12" x14ac:dyDescent="0.25">
      <c r="A208" s="57" t="s">
        <v>1012</v>
      </c>
      <c r="B208" s="57" t="s">
        <v>1013</v>
      </c>
      <c r="C208" s="57" t="s">
        <v>1014</v>
      </c>
      <c r="D208" s="57" t="s">
        <v>523</v>
      </c>
      <c r="E208" s="57" t="s">
        <v>1015</v>
      </c>
      <c r="F208" s="57" t="s">
        <v>1319</v>
      </c>
      <c r="G208" s="78" t="s">
        <v>269</v>
      </c>
      <c r="H208" s="57"/>
      <c r="I208" s="57"/>
      <c r="J208" s="57"/>
      <c r="K208" s="57"/>
      <c r="L208" s="57"/>
    </row>
    <row r="209" spans="1:12" x14ac:dyDescent="0.25">
      <c r="A209" s="57" t="s">
        <v>754</v>
      </c>
      <c r="B209" s="57" t="s">
        <v>1013</v>
      </c>
      <c r="C209" s="57" t="s">
        <v>1016</v>
      </c>
      <c r="D209" s="57" t="s">
        <v>523</v>
      </c>
      <c r="E209" s="57" t="s">
        <v>1017</v>
      </c>
      <c r="F209" s="57" t="s">
        <v>1320</v>
      </c>
      <c r="G209" s="78" t="s">
        <v>269</v>
      </c>
      <c r="H209" s="57"/>
      <c r="I209" s="57"/>
      <c r="J209" s="57"/>
      <c r="K209" s="57"/>
      <c r="L209" s="57"/>
    </row>
    <row r="210" spans="1:12" x14ac:dyDescent="0.25">
      <c r="A210" s="57" t="s">
        <v>1018</v>
      </c>
      <c r="B210" s="57" t="s">
        <v>1013</v>
      </c>
      <c r="C210" s="57" t="s">
        <v>1019</v>
      </c>
      <c r="D210" s="57" t="s">
        <v>306</v>
      </c>
      <c r="E210" s="57" t="s">
        <v>1020</v>
      </c>
      <c r="F210" s="57" t="s">
        <v>1321</v>
      </c>
      <c r="G210" s="78" t="s">
        <v>269</v>
      </c>
      <c r="H210" s="57"/>
      <c r="I210" s="57"/>
      <c r="J210" s="57"/>
      <c r="K210" s="57"/>
      <c r="L210" s="57"/>
    </row>
    <row r="211" spans="1:12" x14ac:dyDescent="0.25">
      <c r="A211" s="57" t="s">
        <v>348</v>
      </c>
      <c r="B211" s="57" t="s">
        <v>1013</v>
      </c>
      <c r="C211" s="57" t="s">
        <v>488</v>
      </c>
      <c r="D211" s="57" t="s">
        <v>611</v>
      </c>
      <c r="E211" s="57" t="s">
        <v>466</v>
      </c>
      <c r="F211" s="57" t="s">
        <v>1322</v>
      </c>
      <c r="G211" s="78" t="s">
        <v>269</v>
      </c>
      <c r="H211" s="57"/>
      <c r="I211" s="57"/>
      <c r="J211" s="57"/>
      <c r="K211" s="57"/>
      <c r="L211" s="57"/>
    </row>
    <row r="212" spans="1:12" x14ac:dyDescent="0.25">
      <c r="A212" s="57" t="s">
        <v>1021</v>
      </c>
      <c r="B212" s="57" t="s">
        <v>1013</v>
      </c>
      <c r="C212" s="57" t="s">
        <v>1022</v>
      </c>
      <c r="D212" s="57" t="s">
        <v>626</v>
      </c>
      <c r="E212" s="57" t="s">
        <v>1023</v>
      </c>
      <c r="F212" s="57" t="s">
        <v>1323</v>
      </c>
      <c r="G212" s="78" t="s">
        <v>269</v>
      </c>
      <c r="H212" s="57"/>
      <c r="I212" s="57"/>
      <c r="J212" s="57"/>
      <c r="K212" s="57"/>
      <c r="L212" s="57"/>
    </row>
    <row r="213" spans="1:12" x14ac:dyDescent="0.25">
      <c r="A213" s="57" t="s">
        <v>379</v>
      </c>
      <c r="B213" s="57" t="s">
        <v>1013</v>
      </c>
      <c r="C213" s="57" t="s">
        <v>380</v>
      </c>
      <c r="D213" s="57" t="s">
        <v>322</v>
      </c>
      <c r="E213" s="57" t="s">
        <v>400</v>
      </c>
      <c r="F213" s="57" t="s">
        <v>1200</v>
      </c>
      <c r="G213" s="78" t="s">
        <v>269</v>
      </c>
      <c r="H213" s="57"/>
      <c r="I213" s="57"/>
      <c r="J213" s="57"/>
      <c r="K213" s="57"/>
      <c r="L213" s="57"/>
    </row>
    <row r="214" spans="1:12" x14ac:dyDescent="0.25">
      <c r="A214" s="57" t="s">
        <v>1024</v>
      </c>
      <c r="B214" s="57" t="s">
        <v>1013</v>
      </c>
      <c r="C214" s="57" t="s">
        <v>1025</v>
      </c>
      <c r="D214" s="57" t="s">
        <v>322</v>
      </c>
      <c r="E214" s="57" t="s">
        <v>1026</v>
      </c>
      <c r="F214" s="57" t="s">
        <v>1324</v>
      </c>
      <c r="G214" s="78" t="s">
        <v>269</v>
      </c>
      <c r="H214" s="57"/>
      <c r="I214" s="57"/>
      <c r="J214" s="57"/>
      <c r="K214" s="57"/>
      <c r="L214" s="57"/>
    </row>
    <row r="215" spans="1:12" x14ac:dyDescent="0.25">
      <c r="A215" s="57" t="s">
        <v>1027</v>
      </c>
      <c r="B215" s="57" t="s">
        <v>1013</v>
      </c>
      <c r="C215" s="57" t="s">
        <v>1028</v>
      </c>
      <c r="D215" s="57" t="s">
        <v>609</v>
      </c>
      <c r="E215" s="57" t="s">
        <v>1029</v>
      </c>
      <c r="F215" s="57" t="s">
        <v>1200</v>
      </c>
      <c r="G215" s="78" t="s">
        <v>269</v>
      </c>
      <c r="H215" s="57"/>
      <c r="I215" s="57"/>
      <c r="J215" s="57"/>
      <c r="K215" s="57"/>
      <c r="L215" s="57"/>
    </row>
    <row r="216" spans="1:12" x14ac:dyDescent="0.25">
      <c r="A216" s="57" t="s">
        <v>1030</v>
      </c>
      <c r="B216" s="57" t="s">
        <v>1013</v>
      </c>
      <c r="C216" s="57" t="s">
        <v>1031</v>
      </c>
      <c r="D216" s="57" t="s">
        <v>626</v>
      </c>
      <c r="E216" s="57" t="s">
        <v>1032</v>
      </c>
      <c r="F216" s="57" t="s">
        <v>1200</v>
      </c>
      <c r="G216" s="78" t="s">
        <v>269</v>
      </c>
      <c r="H216" s="57"/>
      <c r="I216" s="57"/>
      <c r="J216" s="57"/>
      <c r="K216" s="57"/>
      <c r="L216" s="57"/>
    </row>
    <row r="217" spans="1:12" x14ac:dyDescent="0.25">
      <c r="A217" s="57" t="s">
        <v>346</v>
      </c>
      <c r="B217" s="57" t="s">
        <v>300</v>
      </c>
      <c r="C217" s="57" t="s">
        <v>1033</v>
      </c>
      <c r="D217" s="57" t="s">
        <v>698</v>
      </c>
      <c r="E217" s="57" t="s">
        <v>1034</v>
      </c>
      <c r="F217" s="57" t="s">
        <v>1325</v>
      </c>
      <c r="G217" s="78" t="s">
        <v>269</v>
      </c>
      <c r="H217" s="57"/>
      <c r="I217" s="57"/>
      <c r="J217" s="57"/>
      <c r="K217" s="57"/>
      <c r="L217" s="57"/>
    </row>
    <row r="218" spans="1:12" x14ac:dyDescent="0.25">
      <c r="A218" s="57" t="s">
        <v>346</v>
      </c>
      <c r="B218" s="57" t="s">
        <v>300</v>
      </c>
      <c r="C218" s="57" t="s">
        <v>465</v>
      </c>
      <c r="D218" s="57" t="s">
        <v>322</v>
      </c>
      <c r="E218" s="57" t="s">
        <v>382</v>
      </c>
      <c r="F218" s="57" t="s">
        <v>1326</v>
      </c>
      <c r="G218" s="78" t="s">
        <v>269</v>
      </c>
      <c r="H218" s="57"/>
      <c r="I218" s="57"/>
      <c r="J218" s="57"/>
      <c r="K218" s="57"/>
      <c r="L218" s="57"/>
    </row>
    <row r="219" spans="1:12" x14ac:dyDescent="0.25">
      <c r="A219" s="57" t="s">
        <v>754</v>
      </c>
      <c r="B219" s="57" t="s">
        <v>300</v>
      </c>
      <c r="C219" s="57" t="s">
        <v>1035</v>
      </c>
      <c r="D219" s="57" t="s">
        <v>523</v>
      </c>
      <c r="E219" s="57" t="s">
        <v>1036</v>
      </c>
      <c r="F219" s="57" t="s">
        <v>1327</v>
      </c>
      <c r="G219" s="78" t="s">
        <v>269</v>
      </c>
      <c r="H219" s="57"/>
      <c r="I219" s="57"/>
      <c r="J219" s="57"/>
      <c r="K219" s="57"/>
      <c r="L219" s="57"/>
    </row>
    <row r="220" spans="1:12" x14ac:dyDescent="0.25">
      <c r="A220" s="57" t="s">
        <v>754</v>
      </c>
      <c r="B220" s="57" t="s">
        <v>300</v>
      </c>
      <c r="C220" s="57" t="s">
        <v>1037</v>
      </c>
      <c r="D220" s="57" t="s">
        <v>611</v>
      </c>
      <c r="E220" s="57" t="s">
        <v>1038</v>
      </c>
      <c r="F220" s="57" t="s">
        <v>1328</v>
      </c>
      <c r="G220" s="78" t="s">
        <v>269</v>
      </c>
      <c r="H220" s="57"/>
      <c r="I220" s="57"/>
      <c r="J220" s="57"/>
      <c r="K220" s="57"/>
      <c r="L220" s="57"/>
    </row>
    <row r="221" spans="1:12" x14ac:dyDescent="0.25">
      <c r="A221" s="57" t="s">
        <v>347</v>
      </c>
      <c r="B221" s="57" t="s">
        <v>300</v>
      </c>
      <c r="C221" s="57" t="s">
        <v>486</v>
      </c>
      <c r="D221" s="57" t="s">
        <v>609</v>
      </c>
      <c r="E221" s="57" t="s">
        <v>1039</v>
      </c>
      <c r="F221" s="57" t="s">
        <v>1329</v>
      </c>
      <c r="G221" s="78" t="s">
        <v>269</v>
      </c>
      <c r="H221" s="57"/>
      <c r="I221" s="57"/>
      <c r="J221" s="57"/>
      <c r="K221" s="57"/>
      <c r="L221" s="57"/>
    </row>
    <row r="222" spans="1:12" x14ac:dyDescent="0.25">
      <c r="A222" s="57" t="s">
        <v>953</v>
      </c>
      <c r="B222" s="57" t="s">
        <v>300</v>
      </c>
      <c r="C222" s="57" t="s">
        <v>500</v>
      </c>
      <c r="D222" s="57" t="s">
        <v>1040</v>
      </c>
      <c r="E222" s="57" t="s">
        <v>1041</v>
      </c>
      <c r="F222" s="57" t="s">
        <v>1330</v>
      </c>
      <c r="G222" s="78" t="s">
        <v>269</v>
      </c>
      <c r="H222" s="57"/>
      <c r="I222" s="57"/>
      <c r="J222" s="57"/>
      <c r="K222" s="57"/>
      <c r="L222" s="57"/>
    </row>
    <row r="223" spans="1:12" x14ac:dyDescent="0.25">
      <c r="A223" s="57" t="s">
        <v>953</v>
      </c>
      <c r="B223" s="57" t="s">
        <v>300</v>
      </c>
      <c r="C223" s="57" t="s">
        <v>499</v>
      </c>
      <c r="D223" s="57" t="s">
        <v>1042</v>
      </c>
      <c r="E223" s="57" t="s">
        <v>1043</v>
      </c>
      <c r="F223" s="57" t="s">
        <v>1331</v>
      </c>
      <c r="G223" s="78" t="s">
        <v>269</v>
      </c>
      <c r="H223" s="57"/>
      <c r="I223" s="57"/>
      <c r="J223" s="57"/>
      <c r="K223" s="57"/>
      <c r="L223" s="57"/>
    </row>
    <row r="224" spans="1:12" x14ac:dyDescent="0.25">
      <c r="A224" s="57" t="s">
        <v>886</v>
      </c>
      <c r="B224" s="57" t="s">
        <v>1044</v>
      </c>
      <c r="C224" s="57" t="s">
        <v>1045</v>
      </c>
      <c r="D224" s="57" t="s">
        <v>639</v>
      </c>
      <c r="E224" s="57" t="s">
        <v>1046</v>
      </c>
      <c r="F224" s="57" t="s">
        <v>1332</v>
      </c>
      <c r="G224" s="78" t="s">
        <v>269</v>
      </c>
      <c r="H224" s="57"/>
      <c r="I224" s="57"/>
      <c r="J224" s="57"/>
      <c r="K224" s="57"/>
      <c r="L224" s="57"/>
    </row>
    <row r="225" spans="1:12" x14ac:dyDescent="0.25">
      <c r="A225" s="57" t="s">
        <v>387</v>
      </c>
      <c r="B225" s="57" t="s">
        <v>1047</v>
      </c>
      <c r="C225" s="57" t="s">
        <v>404</v>
      </c>
      <c r="D225" s="57" t="s">
        <v>665</v>
      </c>
      <c r="E225" s="57" t="s">
        <v>476</v>
      </c>
      <c r="F225" s="57" t="s">
        <v>1333</v>
      </c>
      <c r="G225" s="78" t="s">
        <v>269</v>
      </c>
      <c r="H225" s="57"/>
      <c r="I225" s="57"/>
      <c r="J225" s="57"/>
      <c r="K225" s="57"/>
      <c r="L225" s="57"/>
    </row>
    <row r="226" spans="1:12" x14ac:dyDescent="0.25">
      <c r="A226" s="57" t="s">
        <v>349</v>
      </c>
      <c r="B226" s="57" t="s">
        <v>1047</v>
      </c>
      <c r="C226" s="57" t="s">
        <v>490</v>
      </c>
      <c r="D226" s="57" t="s">
        <v>306</v>
      </c>
      <c r="E226" s="57" t="s">
        <v>1048</v>
      </c>
      <c r="F226" s="57" t="s">
        <v>1334</v>
      </c>
      <c r="G226" s="78" t="s">
        <v>269</v>
      </c>
      <c r="H226" s="57"/>
      <c r="I226" s="57"/>
      <c r="J226" s="57"/>
      <c r="K226" s="57"/>
      <c r="L226" s="57"/>
    </row>
    <row r="227" spans="1:12" x14ac:dyDescent="0.25">
      <c r="A227" s="57" t="s">
        <v>385</v>
      </c>
      <c r="B227" s="57" t="s">
        <v>1047</v>
      </c>
      <c r="C227" s="57" t="s">
        <v>1049</v>
      </c>
      <c r="D227" s="57" t="s">
        <v>322</v>
      </c>
      <c r="E227" s="57" t="s">
        <v>1050</v>
      </c>
      <c r="F227" s="57" t="s">
        <v>1335</v>
      </c>
      <c r="G227" s="78" t="s">
        <v>269</v>
      </c>
      <c r="H227" s="57"/>
      <c r="I227" s="57"/>
      <c r="J227" s="57"/>
      <c r="K227" s="57"/>
      <c r="L227" s="57"/>
    </row>
    <row r="228" spans="1:12" x14ac:dyDescent="0.25">
      <c r="A228" s="57" t="s">
        <v>358</v>
      </c>
      <c r="B228" s="57" t="s">
        <v>1047</v>
      </c>
      <c r="C228" s="57" t="s">
        <v>498</v>
      </c>
      <c r="D228" s="57" t="s">
        <v>523</v>
      </c>
      <c r="E228" s="57" t="s">
        <v>413</v>
      </c>
      <c r="F228" s="57" t="s">
        <v>1336</v>
      </c>
      <c r="G228" s="78" t="s">
        <v>269</v>
      </c>
      <c r="H228" s="57"/>
      <c r="I228" s="57"/>
      <c r="J228" s="57"/>
      <c r="K228" s="57"/>
      <c r="L228" s="57"/>
    </row>
    <row r="229" spans="1:12" x14ac:dyDescent="0.25">
      <c r="A229" s="57" t="s">
        <v>350</v>
      </c>
      <c r="B229" s="57" t="s">
        <v>1047</v>
      </c>
      <c r="C229" s="57" t="s">
        <v>1051</v>
      </c>
      <c r="D229" s="57" t="s">
        <v>523</v>
      </c>
      <c r="E229" s="57" t="s">
        <v>412</v>
      </c>
      <c r="F229" s="57" t="s">
        <v>1337</v>
      </c>
      <c r="G229" s="78" t="s">
        <v>269</v>
      </c>
      <c r="H229" s="57"/>
      <c r="I229" s="57"/>
      <c r="J229" s="57"/>
      <c r="K229" s="57"/>
      <c r="L229" s="57"/>
    </row>
    <row r="230" spans="1:12" x14ac:dyDescent="0.25">
      <c r="A230" s="57" t="s">
        <v>1052</v>
      </c>
      <c r="B230" s="57" t="s">
        <v>1047</v>
      </c>
      <c r="C230" s="57" t="s">
        <v>1053</v>
      </c>
      <c r="D230" s="57" t="s">
        <v>1040</v>
      </c>
      <c r="E230" s="57" t="s">
        <v>1054</v>
      </c>
      <c r="F230" s="57" t="s">
        <v>1200</v>
      </c>
      <c r="G230" s="78" t="s">
        <v>269</v>
      </c>
      <c r="H230" s="57"/>
      <c r="I230" s="57"/>
      <c r="J230" s="57"/>
      <c r="K230" s="57"/>
      <c r="L230" s="57"/>
    </row>
    <row r="231" spans="1:12" x14ac:dyDescent="0.25">
      <c r="A231" s="57" t="s">
        <v>570</v>
      </c>
      <c r="B231" s="57" t="s">
        <v>1055</v>
      </c>
      <c r="C231" s="57" t="s">
        <v>1056</v>
      </c>
      <c r="D231" s="57" t="s">
        <v>523</v>
      </c>
      <c r="E231" s="57" t="s">
        <v>1057</v>
      </c>
      <c r="F231" s="57" t="s">
        <v>1200</v>
      </c>
      <c r="G231" s="78" t="s">
        <v>269</v>
      </c>
      <c r="H231" s="57"/>
      <c r="I231" s="57"/>
      <c r="J231" s="57"/>
      <c r="K231" s="57"/>
      <c r="L231" s="57"/>
    </row>
    <row r="232" spans="1:12" x14ac:dyDescent="0.25">
      <c r="A232" s="57" t="s">
        <v>384</v>
      </c>
      <c r="B232" s="57" t="s">
        <v>301</v>
      </c>
      <c r="C232" s="57" t="s">
        <v>225</v>
      </c>
      <c r="D232" s="57" t="s">
        <v>568</v>
      </c>
      <c r="E232" s="57" t="s">
        <v>1058</v>
      </c>
      <c r="F232" s="57" t="s">
        <v>1338</v>
      </c>
      <c r="G232" s="78" t="s">
        <v>269</v>
      </c>
      <c r="H232" s="57"/>
      <c r="I232" s="57"/>
      <c r="J232" s="57"/>
      <c r="K232" s="57"/>
      <c r="L232" s="57"/>
    </row>
    <row r="233" spans="1:12" x14ac:dyDescent="0.25">
      <c r="A233" s="57" t="s">
        <v>384</v>
      </c>
      <c r="B233" s="57" t="s">
        <v>301</v>
      </c>
      <c r="C233" s="57" t="s">
        <v>403</v>
      </c>
      <c r="D233" s="57" t="s">
        <v>306</v>
      </c>
      <c r="E233" s="57" t="s">
        <v>226</v>
      </c>
      <c r="F233" s="57" t="s">
        <v>1339</v>
      </c>
      <c r="G233" s="78" t="s">
        <v>269</v>
      </c>
      <c r="H233" s="57"/>
      <c r="I233" s="57"/>
      <c r="J233" s="57"/>
      <c r="K233" s="57"/>
      <c r="L233" s="57"/>
    </row>
    <row r="234" spans="1:12" x14ac:dyDescent="0.25">
      <c r="A234" s="57" t="s">
        <v>342</v>
      </c>
      <c r="B234" s="57" t="s">
        <v>301</v>
      </c>
      <c r="C234" s="57" t="s">
        <v>343</v>
      </c>
      <c r="D234" s="57" t="s">
        <v>633</v>
      </c>
      <c r="E234" s="57" t="s">
        <v>1059</v>
      </c>
      <c r="F234" s="57" t="s">
        <v>1340</v>
      </c>
      <c r="G234" s="78" t="s">
        <v>269</v>
      </c>
      <c r="H234" s="57"/>
      <c r="I234" s="57"/>
      <c r="J234" s="57"/>
      <c r="K234" s="57"/>
      <c r="L234" s="57"/>
    </row>
    <row r="235" spans="1:12" x14ac:dyDescent="0.25">
      <c r="A235" s="57" t="s">
        <v>353</v>
      </c>
      <c r="B235" s="57" t="s">
        <v>301</v>
      </c>
      <c r="C235" s="57" t="s">
        <v>1060</v>
      </c>
      <c r="D235" s="57" t="s">
        <v>1061</v>
      </c>
      <c r="E235" s="57" t="s">
        <v>1062</v>
      </c>
      <c r="F235" s="57" t="s">
        <v>1341</v>
      </c>
      <c r="G235" s="78" t="s">
        <v>269</v>
      </c>
      <c r="H235" s="57"/>
      <c r="I235" s="57"/>
      <c r="J235" s="57"/>
      <c r="K235" s="57"/>
      <c r="L235" s="57"/>
    </row>
    <row r="236" spans="1:12" x14ac:dyDescent="0.25">
      <c r="A236" s="57" t="s">
        <v>472</v>
      </c>
      <c r="B236" s="57" t="s">
        <v>301</v>
      </c>
      <c r="C236" s="57" t="s">
        <v>506</v>
      </c>
      <c r="D236" s="57" t="s">
        <v>963</v>
      </c>
      <c r="E236" s="57" t="s">
        <v>1063</v>
      </c>
      <c r="F236" s="57" t="s">
        <v>1200</v>
      </c>
      <c r="G236" s="78" t="s">
        <v>269</v>
      </c>
      <c r="H236" s="57"/>
      <c r="I236" s="57"/>
      <c r="J236" s="57"/>
      <c r="K236" s="57"/>
      <c r="L236" s="57"/>
    </row>
    <row r="237" spans="1:12" x14ac:dyDescent="0.25">
      <c r="A237" s="57" t="s">
        <v>340</v>
      </c>
      <c r="B237" s="57" t="s">
        <v>107</v>
      </c>
      <c r="C237" s="57" t="s">
        <v>1064</v>
      </c>
      <c r="D237" s="57" t="s">
        <v>523</v>
      </c>
      <c r="E237" s="57" t="s">
        <v>341</v>
      </c>
      <c r="F237" s="57" t="s">
        <v>1342</v>
      </c>
      <c r="G237" s="78" t="s">
        <v>269</v>
      </c>
      <c r="H237" s="57"/>
      <c r="I237" s="57"/>
      <c r="J237" s="57"/>
      <c r="K237" s="57"/>
      <c r="L237" s="57"/>
    </row>
    <row r="238" spans="1:12" x14ac:dyDescent="0.25">
      <c r="A238" s="57" t="s">
        <v>344</v>
      </c>
      <c r="B238" s="57" t="s">
        <v>107</v>
      </c>
      <c r="C238" s="57" t="s">
        <v>482</v>
      </c>
      <c r="D238" s="57" t="s">
        <v>568</v>
      </c>
      <c r="E238" s="57" t="s">
        <v>405</v>
      </c>
      <c r="F238" s="57" t="s">
        <v>1343</v>
      </c>
      <c r="G238" s="78" t="s">
        <v>269</v>
      </c>
      <c r="H238" s="57"/>
      <c r="I238" s="57"/>
      <c r="J238" s="57"/>
      <c r="K238" s="57"/>
      <c r="L238" s="57"/>
    </row>
    <row r="239" spans="1:12" x14ac:dyDescent="0.25">
      <c r="A239" s="57" t="s">
        <v>355</v>
      </c>
      <c r="B239" s="57" t="s">
        <v>107</v>
      </c>
      <c r="C239" s="57" t="s">
        <v>1065</v>
      </c>
      <c r="D239" s="57" t="s">
        <v>568</v>
      </c>
      <c r="E239" s="57" t="s">
        <v>477</v>
      </c>
      <c r="F239" s="57" t="s">
        <v>1344</v>
      </c>
      <c r="G239" s="78" t="s">
        <v>269</v>
      </c>
      <c r="H239" s="57"/>
      <c r="I239" s="57"/>
      <c r="J239" s="57"/>
      <c r="K239" s="57"/>
      <c r="L239" s="57"/>
    </row>
    <row r="240" spans="1:12" x14ac:dyDescent="0.25">
      <c r="A240" s="57" t="s">
        <v>1066</v>
      </c>
      <c r="B240" s="57" t="s">
        <v>107</v>
      </c>
      <c r="C240" s="57" t="s">
        <v>1067</v>
      </c>
      <c r="D240" s="57" t="s">
        <v>525</v>
      </c>
      <c r="E240" s="57" t="s">
        <v>1068</v>
      </c>
      <c r="F240" s="57" t="s">
        <v>1345</v>
      </c>
      <c r="G240" s="78" t="s">
        <v>269</v>
      </c>
      <c r="H240" s="57"/>
      <c r="I240" s="57"/>
      <c r="J240" s="57"/>
      <c r="K240" s="57"/>
      <c r="L240" s="57"/>
    </row>
    <row r="241" spans="1:12" x14ac:dyDescent="0.25">
      <c r="A241" s="57" t="s">
        <v>1069</v>
      </c>
      <c r="B241" s="57" t="s">
        <v>107</v>
      </c>
      <c r="C241" s="57" t="s">
        <v>1070</v>
      </c>
      <c r="D241" s="57" t="s">
        <v>626</v>
      </c>
      <c r="E241" s="57" t="s">
        <v>1071</v>
      </c>
      <c r="F241" s="57" t="s">
        <v>1346</v>
      </c>
      <c r="G241" s="78" t="s">
        <v>269</v>
      </c>
      <c r="H241" s="57"/>
      <c r="I241" s="57"/>
      <c r="J241" s="57"/>
      <c r="K241" s="57"/>
      <c r="L241" s="57"/>
    </row>
    <row r="242" spans="1:12" x14ac:dyDescent="0.25">
      <c r="A242" s="57" t="s">
        <v>1072</v>
      </c>
      <c r="B242" s="57" t="s">
        <v>107</v>
      </c>
      <c r="C242" s="57" t="s">
        <v>1073</v>
      </c>
      <c r="D242" s="57" t="s">
        <v>572</v>
      </c>
      <c r="E242" s="57" t="s">
        <v>1074</v>
      </c>
      <c r="F242" s="57" t="s">
        <v>1200</v>
      </c>
      <c r="G242" s="78" t="s">
        <v>269</v>
      </c>
      <c r="H242" s="57"/>
      <c r="I242" s="57"/>
      <c r="J242" s="57"/>
      <c r="K242" s="57"/>
      <c r="L242" s="57"/>
    </row>
    <row r="243" spans="1:12" x14ac:dyDescent="0.25">
      <c r="A243" s="57" t="s">
        <v>570</v>
      </c>
      <c r="B243" s="57" t="s">
        <v>107</v>
      </c>
      <c r="C243" s="57" t="s">
        <v>1075</v>
      </c>
      <c r="D243" s="57" t="s">
        <v>645</v>
      </c>
      <c r="E243" s="57" t="s">
        <v>121</v>
      </c>
      <c r="F243" s="57" t="s">
        <v>1200</v>
      </c>
      <c r="G243" s="78" t="s">
        <v>269</v>
      </c>
      <c r="H243" s="57"/>
      <c r="I243" s="57"/>
      <c r="J243" s="57"/>
      <c r="K243" s="57"/>
      <c r="L243" s="57"/>
    </row>
    <row r="244" spans="1:12" x14ac:dyDescent="0.25">
      <c r="A244" s="57" t="s">
        <v>472</v>
      </c>
      <c r="B244" s="57" t="s">
        <v>107</v>
      </c>
      <c r="C244" s="57" t="s">
        <v>509</v>
      </c>
      <c r="D244" s="57" t="s">
        <v>568</v>
      </c>
      <c r="E244" s="57" t="s">
        <v>1076</v>
      </c>
      <c r="F244" s="57" t="s">
        <v>1200</v>
      </c>
      <c r="G244" s="78" t="s">
        <v>269</v>
      </c>
      <c r="H244" s="57"/>
      <c r="I244" s="57"/>
      <c r="J244" s="57"/>
      <c r="K244" s="57"/>
      <c r="L244" s="57"/>
    </row>
    <row r="245" spans="1:12" x14ac:dyDescent="0.25">
      <c r="A245" s="57" t="s">
        <v>1077</v>
      </c>
      <c r="B245" s="57" t="s">
        <v>107</v>
      </c>
      <c r="C245" s="57" t="s">
        <v>1078</v>
      </c>
      <c r="D245" s="57" t="s">
        <v>609</v>
      </c>
      <c r="E245" s="57" t="s">
        <v>1079</v>
      </c>
      <c r="F245" s="57" t="s">
        <v>1347</v>
      </c>
      <c r="G245" s="78" t="s">
        <v>269</v>
      </c>
      <c r="H245" s="57"/>
      <c r="I245" s="57"/>
      <c r="J245" s="57"/>
      <c r="K245" s="57"/>
      <c r="L245" s="57"/>
    </row>
    <row r="246" spans="1:12" x14ac:dyDescent="0.25">
      <c r="A246" s="57" t="s">
        <v>1077</v>
      </c>
      <c r="B246" s="57" t="s">
        <v>107</v>
      </c>
      <c r="C246" s="57" t="s">
        <v>1080</v>
      </c>
      <c r="D246" s="57" t="s">
        <v>568</v>
      </c>
      <c r="E246" s="57" t="s">
        <v>1081</v>
      </c>
      <c r="F246" s="57" t="s">
        <v>1348</v>
      </c>
      <c r="G246" s="78" t="s">
        <v>269</v>
      </c>
      <c r="H246" s="57"/>
      <c r="I246" s="57"/>
      <c r="J246" s="57"/>
      <c r="K246" s="57"/>
      <c r="L246" s="57"/>
    </row>
    <row r="247" spans="1:12" x14ac:dyDescent="0.25">
      <c r="A247" s="57" t="s">
        <v>474</v>
      </c>
      <c r="B247" s="57" t="s">
        <v>361</v>
      </c>
      <c r="C247" s="57" t="s">
        <v>1082</v>
      </c>
      <c r="D247" s="57" t="s">
        <v>626</v>
      </c>
      <c r="E247" s="57" t="s">
        <v>475</v>
      </c>
      <c r="F247" s="57" t="s">
        <v>1349</v>
      </c>
      <c r="G247" s="78" t="s">
        <v>269</v>
      </c>
      <c r="H247" s="57"/>
      <c r="I247" s="57"/>
      <c r="J247" s="57"/>
      <c r="K247" s="57"/>
      <c r="L247" s="57"/>
    </row>
    <row r="248" spans="1:12" x14ac:dyDescent="0.25">
      <c r="A248" s="57" t="s">
        <v>345</v>
      </c>
      <c r="B248" s="57" t="s">
        <v>109</v>
      </c>
      <c r="C248" s="57" t="s">
        <v>406</v>
      </c>
      <c r="D248" s="57" t="s">
        <v>306</v>
      </c>
      <c r="E248" s="57" t="s">
        <v>1083</v>
      </c>
      <c r="F248" s="57" t="s">
        <v>1350</v>
      </c>
      <c r="G248" s="78" t="s">
        <v>269</v>
      </c>
      <c r="H248" s="57"/>
      <c r="I248" s="57"/>
      <c r="J248" s="57"/>
      <c r="K248" s="57"/>
      <c r="L248" s="57"/>
    </row>
    <row r="249" spans="1:12" x14ac:dyDescent="0.25">
      <c r="A249" s="57" t="s">
        <v>347</v>
      </c>
      <c r="B249" s="57" t="s">
        <v>109</v>
      </c>
      <c r="C249" s="57" t="s">
        <v>487</v>
      </c>
      <c r="D249" s="57" t="s">
        <v>613</v>
      </c>
      <c r="E249" s="57" t="s">
        <v>497</v>
      </c>
      <c r="F249" s="57" t="s">
        <v>1351</v>
      </c>
      <c r="G249" s="78" t="s">
        <v>269</v>
      </c>
      <c r="H249" s="57"/>
      <c r="I249" s="57"/>
      <c r="J249" s="57"/>
      <c r="K249" s="57"/>
      <c r="L249" s="57"/>
    </row>
    <row r="250" spans="1:12" x14ac:dyDescent="0.25">
      <c r="A250" s="57" t="s">
        <v>357</v>
      </c>
      <c r="B250" s="57" t="s">
        <v>109</v>
      </c>
      <c r="C250" s="57" t="s">
        <v>415</v>
      </c>
      <c r="D250" s="57" t="s">
        <v>626</v>
      </c>
      <c r="E250" s="57" t="s">
        <v>1084</v>
      </c>
      <c r="F250" s="57" t="s">
        <v>1352</v>
      </c>
      <c r="G250" s="78" t="s">
        <v>269</v>
      </c>
      <c r="H250" s="57"/>
      <c r="I250" s="57"/>
      <c r="J250" s="57"/>
      <c r="K250" s="57"/>
      <c r="L250" s="57"/>
    </row>
    <row r="251" spans="1:12" x14ac:dyDescent="0.25">
      <c r="A251" s="57" t="s">
        <v>565</v>
      </c>
      <c r="B251" s="57" t="s">
        <v>109</v>
      </c>
      <c r="C251" s="57" t="s">
        <v>1085</v>
      </c>
      <c r="D251" s="57" t="s">
        <v>1086</v>
      </c>
      <c r="E251" s="57" t="s">
        <v>1087</v>
      </c>
      <c r="F251" s="57" t="s">
        <v>1353</v>
      </c>
      <c r="G251" s="78" t="s">
        <v>269</v>
      </c>
      <c r="H251" s="57"/>
      <c r="I251" s="57"/>
      <c r="J251" s="57"/>
      <c r="K251" s="57"/>
      <c r="L251" s="57"/>
    </row>
    <row r="252" spans="1:12" x14ac:dyDescent="0.25">
      <c r="A252" s="57" t="s">
        <v>1077</v>
      </c>
      <c r="B252" s="57" t="s">
        <v>109</v>
      </c>
      <c r="C252" s="57" t="s">
        <v>1088</v>
      </c>
      <c r="D252" s="57" t="s">
        <v>306</v>
      </c>
      <c r="E252" s="57" t="s">
        <v>1089</v>
      </c>
      <c r="F252" s="57" t="s">
        <v>1354</v>
      </c>
      <c r="G252" s="78" t="s">
        <v>269</v>
      </c>
      <c r="H252" s="57"/>
      <c r="I252" s="57"/>
      <c r="J252" s="57"/>
      <c r="K252" s="57"/>
      <c r="L252" s="57"/>
    </row>
    <row r="253" spans="1:12" x14ac:dyDescent="0.25">
      <c r="A253" s="57" t="s">
        <v>1077</v>
      </c>
      <c r="B253" s="57" t="s">
        <v>109</v>
      </c>
      <c r="C253" s="57" t="s">
        <v>1090</v>
      </c>
      <c r="D253" s="57" t="s">
        <v>568</v>
      </c>
      <c r="E253" s="57" t="s">
        <v>1091</v>
      </c>
      <c r="F253" s="57" t="s">
        <v>1200</v>
      </c>
      <c r="G253" s="78" t="s">
        <v>269</v>
      </c>
      <c r="H253" s="57"/>
      <c r="I253" s="57"/>
      <c r="J253" s="57"/>
      <c r="K253" s="57"/>
      <c r="L253" s="57"/>
    </row>
    <row r="254" spans="1:12" x14ac:dyDescent="0.25">
      <c r="A254" s="57" t="s">
        <v>1077</v>
      </c>
      <c r="B254" s="57" t="s">
        <v>109</v>
      </c>
      <c r="C254" s="57" t="s">
        <v>1092</v>
      </c>
      <c r="D254" s="57" t="s">
        <v>1093</v>
      </c>
      <c r="E254" s="57" t="s">
        <v>1094</v>
      </c>
      <c r="F254" s="57" t="s">
        <v>1355</v>
      </c>
      <c r="G254" s="78" t="s">
        <v>269</v>
      </c>
      <c r="H254" s="57"/>
      <c r="I254" s="57"/>
      <c r="J254" s="57"/>
      <c r="K254" s="57"/>
      <c r="L254" s="57"/>
    </row>
    <row r="255" spans="1:12" x14ac:dyDescent="0.25">
      <c r="A255" s="57" t="s">
        <v>1095</v>
      </c>
      <c r="B255" s="57" t="s">
        <v>90</v>
      </c>
      <c r="C255" s="57" t="s">
        <v>1096</v>
      </c>
      <c r="D255" s="57" t="s">
        <v>665</v>
      </c>
      <c r="E255" s="57" t="s">
        <v>1097</v>
      </c>
      <c r="F255" s="57" t="s">
        <v>1356</v>
      </c>
      <c r="G255" s="78" t="s">
        <v>269</v>
      </c>
      <c r="H255" s="57"/>
      <c r="I255" s="57"/>
      <c r="J255" s="57"/>
      <c r="K255" s="57"/>
      <c r="L255" s="57"/>
    </row>
    <row r="256" spans="1:12" x14ac:dyDescent="0.25">
      <c r="A256" s="57" t="s">
        <v>1098</v>
      </c>
      <c r="B256" s="57" t="s">
        <v>90</v>
      </c>
      <c r="C256" s="57" t="s">
        <v>1099</v>
      </c>
      <c r="D256" s="57" t="s">
        <v>572</v>
      </c>
      <c r="E256" s="57" t="s">
        <v>1100</v>
      </c>
      <c r="F256" s="57" t="s">
        <v>1200</v>
      </c>
      <c r="G256" s="78" t="s">
        <v>269</v>
      </c>
      <c r="H256" s="57"/>
      <c r="I256" s="57"/>
      <c r="J256" s="57"/>
      <c r="K256" s="57"/>
      <c r="L256" s="57"/>
    </row>
    <row r="257" spans="1:12" x14ac:dyDescent="0.25">
      <c r="A257" s="57" t="s">
        <v>1101</v>
      </c>
      <c r="B257" s="57" t="s">
        <v>90</v>
      </c>
      <c r="C257" s="57" t="s">
        <v>1102</v>
      </c>
      <c r="D257" s="57" t="s">
        <v>322</v>
      </c>
      <c r="E257" s="57" t="s">
        <v>1103</v>
      </c>
      <c r="F257" s="57" t="s">
        <v>1357</v>
      </c>
      <c r="G257" s="78" t="s">
        <v>269</v>
      </c>
      <c r="H257" s="57"/>
      <c r="I257" s="57"/>
      <c r="J257" s="57"/>
      <c r="K257" s="57"/>
      <c r="L257" s="57"/>
    </row>
    <row r="258" spans="1:12" x14ac:dyDescent="0.25">
      <c r="A258" s="57" t="s">
        <v>1101</v>
      </c>
      <c r="B258" s="57" t="s">
        <v>90</v>
      </c>
      <c r="C258" s="57" t="s">
        <v>1104</v>
      </c>
      <c r="D258" s="57" t="s">
        <v>568</v>
      </c>
      <c r="E258" s="57" t="s">
        <v>1105</v>
      </c>
      <c r="F258" s="57" t="s">
        <v>1358</v>
      </c>
      <c r="G258" s="78" t="s">
        <v>269</v>
      </c>
      <c r="H258" s="57"/>
      <c r="I258" s="57"/>
      <c r="J258" s="57"/>
      <c r="K258" s="57"/>
      <c r="L258" s="57"/>
    </row>
    <row r="259" spans="1:12" x14ac:dyDescent="0.25">
      <c r="A259" s="57" t="s">
        <v>1101</v>
      </c>
      <c r="B259" s="57" t="s">
        <v>90</v>
      </c>
      <c r="C259" s="57" t="s">
        <v>167</v>
      </c>
      <c r="D259" s="57" t="s">
        <v>1106</v>
      </c>
      <c r="E259" s="57" t="s">
        <v>1107</v>
      </c>
      <c r="F259" s="57" t="s">
        <v>1359</v>
      </c>
      <c r="G259" s="78" t="s">
        <v>269</v>
      </c>
      <c r="H259" s="57"/>
      <c r="I259" s="57"/>
      <c r="J259" s="57"/>
      <c r="K259" s="57"/>
      <c r="L259" s="57"/>
    </row>
    <row r="260" spans="1:12" x14ac:dyDescent="0.25">
      <c r="A260" s="57" t="s">
        <v>1101</v>
      </c>
      <c r="B260" s="57" t="s">
        <v>90</v>
      </c>
      <c r="C260" s="57" t="s">
        <v>1108</v>
      </c>
      <c r="D260" s="57" t="s">
        <v>815</v>
      </c>
      <c r="E260" s="57" t="s">
        <v>164</v>
      </c>
      <c r="F260" s="57" t="s">
        <v>1360</v>
      </c>
      <c r="G260" s="78" t="s">
        <v>269</v>
      </c>
      <c r="H260" s="57"/>
      <c r="I260" s="57"/>
      <c r="J260" s="57"/>
      <c r="K260" s="57"/>
      <c r="L260" s="57"/>
    </row>
    <row r="261" spans="1:12" x14ac:dyDescent="0.25">
      <c r="A261" s="57" t="s">
        <v>1101</v>
      </c>
      <c r="B261" s="57" t="s">
        <v>90</v>
      </c>
      <c r="C261" s="57" t="s">
        <v>1109</v>
      </c>
      <c r="D261" s="57" t="s">
        <v>645</v>
      </c>
      <c r="E261" s="57" t="s">
        <v>1110</v>
      </c>
      <c r="F261" s="57" t="s">
        <v>1361</v>
      </c>
      <c r="G261" s="78" t="s">
        <v>269</v>
      </c>
      <c r="H261" s="57"/>
      <c r="I261" s="57"/>
      <c r="J261" s="57"/>
      <c r="K261" s="57"/>
      <c r="L261" s="57"/>
    </row>
    <row r="262" spans="1:12" x14ac:dyDescent="0.25">
      <c r="A262" s="57" t="s">
        <v>1101</v>
      </c>
      <c r="B262" s="57" t="s">
        <v>90</v>
      </c>
      <c r="C262" s="57" t="s">
        <v>1111</v>
      </c>
      <c r="D262" s="57" t="s">
        <v>572</v>
      </c>
      <c r="E262" s="57" t="s">
        <v>1112</v>
      </c>
      <c r="F262" s="57" t="s">
        <v>1362</v>
      </c>
      <c r="G262" s="78" t="s">
        <v>269</v>
      </c>
      <c r="H262" s="57"/>
      <c r="I262" s="57"/>
      <c r="J262" s="57"/>
      <c r="K262" s="57"/>
      <c r="L262" s="57"/>
    </row>
    <row r="263" spans="1:12" x14ac:dyDescent="0.25">
      <c r="A263" s="57" t="s">
        <v>1101</v>
      </c>
      <c r="B263" s="57" t="s">
        <v>90</v>
      </c>
      <c r="C263" s="57" t="s">
        <v>1113</v>
      </c>
      <c r="D263" s="57" t="s">
        <v>572</v>
      </c>
      <c r="E263" s="57" t="s">
        <v>165</v>
      </c>
      <c r="F263" s="57" t="s">
        <v>1363</v>
      </c>
      <c r="G263" s="78" t="s">
        <v>269</v>
      </c>
      <c r="H263" s="57"/>
      <c r="I263" s="57"/>
      <c r="J263" s="57"/>
      <c r="K263" s="57"/>
      <c r="L263" s="57"/>
    </row>
    <row r="264" spans="1:12" x14ac:dyDescent="0.25">
      <c r="A264" s="57" t="s">
        <v>1101</v>
      </c>
      <c r="B264" s="57" t="s">
        <v>90</v>
      </c>
      <c r="C264" s="57" t="s">
        <v>1114</v>
      </c>
      <c r="D264" s="57" t="s">
        <v>572</v>
      </c>
      <c r="E264" s="57" t="s">
        <v>1115</v>
      </c>
      <c r="F264" s="57" t="s">
        <v>1364</v>
      </c>
      <c r="G264" s="78" t="s">
        <v>269</v>
      </c>
      <c r="H264" s="57"/>
      <c r="I264" s="57"/>
      <c r="J264" s="57"/>
      <c r="K264" s="57"/>
      <c r="L264" s="57"/>
    </row>
    <row r="265" spans="1:12" x14ac:dyDescent="0.25">
      <c r="A265" s="57" t="s">
        <v>356</v>
      </c>
      <c r="B265" s="57" t="s">
        <v>90</v>
      </c>
      <c r="C265" s="57" t="s">
        <v>508</v>
      </c>
      <c r="D265" s="57" t="s">
        <v>525</v>
      </c>
      <c r="E265" s="57" t="s">
        <v>1116</v>
      </c>
      <c r="F265" s="57" t="s">
        <v>1365</v>
      </c>
      <c r="G265" s="78" t="s">
        <v>269</v>
      </c>
      <c r="H265" s="57"/>
      <c r="I265" s="57"/>
      <c r="J265" s="57"/>
      <c r="K265" s="57"/>
      <c r="L265" s="57"/>
    </row>
    <row r="266" spans="1:12" x14ac:dyDescent="0.25">
      <c r="A266" s="57" t="s">
        <v>1018</v>
      </c>
      <c r="B266" s="57" t="s">
        <v>90</v>
      </c>
      <c r="C266" s="57" t="s">
        <v>1117</v>
      </c>
      <c r="D266" s="57" t="s">
        <v>645</v>
      </c>
      <c r="E266" s="57" t="s">
        <v>1118</v>
      </c>
      <c r="F266" s="57" t="s">
        <v>1366</v>
      </c>
      <c r="G266" s="78" t="s">
        <v>269</v>
      </c>
      <c r="H266" s="57"/>
      <c r="I266" s="57"/>
      <c r="J266" s="57"/>
      <c r="K266" s="57"/>
      <c r="L266" s="57"/>
    </row>
    <row r="267" spans="1:12" x14ac:dyDescent="0.25">
      <c r="A267" s="57" t="s">
        <v>1018</v>
      </c>
      <c r="B267" s="57" t="s">
        <v>90</v>
      </c>
      <c r="C267" s="57" t="s">
        <v>1119</v>
      </c>
      <c r="D267" s="57" t="s">
        <v>523</v>
      </c>
      <c r="E267" s="57" t="s">
        <v>1120</v>
      </c>
      <c r="F267" s="57" t="s">
        <v>1367</v>
      </c>
      <c r="G267" s="78" t="s">
        <v>269</v>
      </c>
      <c r="H267" s="57"/>
      <c r="I267" s="57"/>
      <c r="J267" s="57"/>
      <c r="K267" s="57"/>
      <c r="L267" s="57"/>
    </row>
    <row r="268" spans="1:12" x14ac:dyDescent="0.25">
      <c r="A268" s="57" t="s">
        <v>657</v>
      </c>
      <c r="B268" s="57" t="s">
        <v>90</v>
      </c>
      <c r="C268" s="57" t="s">
        <v>1121</v>
      </c>
      <c r="D268" s="57" t="s">
        <v>815</v>
      </c>
      <c r="E268" s="57" t="s">
        <v>1122</v>
      </c>
      <c r="F268" s="57" t="s">
        <v>1368</v>
      </c>
      <c r="G268" s="78" t="s">
        <v>269</v>
      </c>
      <c r="H268" s="57"/>
      <c r="I268" s="57"/>
      <c r="J268" s="57"/>
      <c r="K268" s="57"/>
      <c r="L268" s="57"/>
    </row>
    <row r="269" spans="1:12" x14ac:dyDescent="0.25">
      <c r="A269" s="57" t="s">
        <v>833</v>
      </c>
      <c r="B269" s="57" t="s">
        <v>90</v>
      </c>
      <c r="C269" s="57" t="s">
        <v>1123</v>
      </c>
      <c r="D269" s="57" t="s">
        <v>611</v>
      </c>
      <c r="E269" s="57" t="s">
        <v>1124</v>
      </c>
      <c r="F269" s="57" t="s">
        <v>1369</v>
      </c>
      <c r="G269" s="78" t="s">
        <v>269</v>
      </c>
      <c r="H269" s="57"/>
      <c r="I269" s="57"/>
      <c r="J269" s="57"/>
      <c r="K269" s="57"/>
      <c r="L269" s="57"/>
    </row>
    <row r="270" spans="1:12" x14ac:dyDescent="0.25">
      <c r="A270" s="57" t="s">
        <v>833</v>
      </c>
      <c r="B270" s="57" t="s">
        <v>90</v>
      </c>
      <c r="C270" s="57" t="s">
        <v>1125</v>
      </c>
      <c r="D270" s="57" t="s">
        <v>626</v>
      </c>
      <c r="E270" s="57" t="s">
        <v>1126</v>
      </c>
      <c r="F270" s="57" t="s">
        <v>1370</v>
      </c>
      <c r="G270" s="78" t="s">
        <v>269</v>
      </c>
      <c r="H270" s="57"/>
      <c r="I270" s="57"/>
      <c r="J270" s="57"/>
      <c r="K270" s="57"/>
      <c r="L270" s="57"/>
    </row>
    <row r="271" spans="1:12" x14ac:dyDescent="0.25">
      <c r="A271" s="57" t="s">
        <v>1127</v>
      </c>
      <c r="B271" s="57" t="s">
        <v>90</v>
      </c>
      <c r="C271" s="57" t="s">
        <v>1128</v>
      </c>
      <c r="D271" s="57" t="s">
        <v>1011</v>
      </c>
      <c r="E271" s="57" t="s">
        <v>1129</v>
      </c>
      <c r="F271" s="57" t="s">
        <v>1371</v>
      </c>
      <c r="G271" s="78" t="s">
        <v>269</v>
      </c>
      <c r="H271" s="57"/>
      <c r="I271" s="57"/>
      <c r="J271" s="57"/>
      <c r="K271" s="57"/>
      <c r="L271" s="57"/>
    </row>
    <row r="272" spans="1:12" x14ac:dyDescent="0.25">
      <c r="A272" s="57" t="s">
        <v>1130</v>
      </c>
      <c r="B272" s="57" t="s">
        <v>90</v>
      </c>
      <c r="C272" s="57" t="s">
        <v>1131</v>
      </c>
      <c r="D272" s="57" t="s">
        <v>307</v>
      </c>
      <c r="E272" s="57" t="s">
        <v>1132</v>
      </c>
      <c r="F272" s="57" t="s">
        <v>1372</v>
      </c>
      <c r="G272" s="78" t="s">
        <v>269</v>
      </c>
      <c r="H272" s="57"/>
      <c r="I272" s="57"/>
      <c r="J272" s="57"/>
      <c r="K272" s="57"/>
      <c r="L272" s="57"/>
    </row>
    <row r="273" spans="1:12" x14ac:dyDescent="0.25">
      <c r="A273" s="57" t="s">
        <v>905</v>
      </c>
      <c r="B273" s="57" t="s">
        <v>90</v>
      </c>
      <c r="C273" s="57" t="s">
        <v>1133</v>
      </c>
      <c r="D273" s="57" t="s">
        <v>306</v>
      </c>
      <c r="E273" s="57" t="s">
        <v>1134</v>
      </c>
      <c r="F273" s="57" t="s">
        <v>1200</v>
      </c>
      <c r="G273" s="78" t="s">
        <v>269</v>
      </c>
      <c r="H273" s="57"/>
      <c r="I273" s="57"/>
      <c r="J273" s="57"/>
      <c r="K273" s="57"/>
      <c r="L273" s="57"/>
    </row>
    <row r="274" spans="1:12" x14ac:dyDescent="0.25">
      <c r="A274" s="57" t="s">
        <v>1077</v>
      </c>
      <c r="B274" s="57" t="s">
        <v>90</v>
      </c>
      <c r="C274" s="57" t="s">
        <v>1135</v>
      </c>
      <c r="D274" s="57" t="s">
        <v>1086</v>
      </c>
      <c r="E274" s="57" t="s">
        <v>1136</v>
      </c>
      <c r="F274" s="57" t="s">
        <v>1200</v>
      </c>
      <c r="G274" s="78" t="s">
        <v>269</v>
      </c>
      <c r="H274" s="57"/>
      <c r="I274" s="57"/>
      <c r="J274" s="57"/>
      <c r="K274" s="57"/>
      <c r="L274" s="57"/>
    </row>
    <row r="275" spans="1:12" x14ac:dyDescent="0.25">
      <c r="A275" s="57" t="s">
        <v>1077</v>
      </c>
      <c r="B275" s="57" t="s">
        <v>90</v>
      </c>
      <c r="C275" s="57" t="s">
        <v>1137</v>
      </c>
      <c r="D275" s="57" t="s">
        <v>1011</v>
      </c>
      <c r="E275" s="57" t="s">
        <v>1138</v>
      </c>
      <c r="F275" s="57" t="s">
        <v>1373</v>
      </c>
      <c r="G275" s="78" t="s">
        <v>269</v>
      </c>
      <c r="H275" s="57"/>
      <c r="I275" s="57"/>
      <c r="J275" s="57"/>
      <c r="K275" s="57"/>
      <c r="L275" s="57"/>
    </row>
    <row r="276" spans="1:12" x14ac:dyDescent="0.25">
      <c r="A276" s="57" t="s">
        <v>362</v>
      </c>
      <c r="B276" s="57" t="s">
        <v>1139</v>
      </c>
      <c r="C276" s="57" t="s">
        <v>511</v>
      </c>
      <c r="D276" s="57" t="s">
        <v>609</v>
      </c>
      <c r="E276" s="57" t="s">
        <v>512</v>
      </c>
      <c r="F276" s="57" t="s">
        <v>1374</v>
      </c>
      <c r="G276" s="78" t="s">
        <v>269</v>
      </c>
      <c r="H276" s="57"/>
      <c r="I276" s="57"/>
      <c r="J276" s="57"/>
      <c r="K276" s="57"/>
      <c r="L276" s="57"/>
    </row>
    <row r="277" spans="1:12" x14ac:dyDescent="0.25">
      <c r="A277" s="57" t="s">
        <v>1052</v>
      </c>
      <c r="B277" s="57" t="s">
        <v>1139</v>
      </c>
      <c r="C277" s="57" t="s">
        <v>1140</v>
      </c>
      <c r="D277" s="57" t="s">
        <v>645</v>
      </c>
      <c r="E277" s="57" t="s">
        <v>1141</v>
      </c>
      <c r="F277" s="57" t="s">
        <v>1200</v>
      </c>
      <c r="G277" s="78" t="s">
        <v>269</v>
      </c>
      <c r="H277" s="57"/>
      <c r="I277" s="57"/>
      <c r="J277" s="57"/>
      <c r="K277" s="57"/>
      <c r="L277" s="57"/>
    </row>
    <row r="278" spans="1:12" x14ac:dyDescent="0.25">
      <c r="A278" s="57" t="s">
        <v>351</v>
      </c>
      <c r="B278" s="57" t="s">
        <v>302</v>
      </c>
      <c r="C278" s="57" t="s">
        <v>429</v>
      </c>
      <c r="D278" s="57" t="s">
        <v>568</v>
      </c>
      <c r="E278" s="57" t="s">
        <v>1142</v>
      </c>
      <c r="F278" s="57" t="s">
        <v>1375</v>
      </c>
      <c r="G278" s="78" t="s">
        <v>269</v>
      </c>
      <c r="H278" s="57"/>
      <c r="I278" s="57"/>
      <c r="J278" s="57"/>
      <c r="K278" s="57"/>
      <c r="L278" s="57"/>
    </row>
    <row r="279" spans="1:12" x14ac:dyDescent="0.25">
      <c r="A279" s="57" t="s">
        <v>332</v>
      </c>
      <c r="B279" s="57" t="s">
        <v>302</v>
      </c>
      <c r="C279" s="57" t="s">
        <v>364</v>
      </c>
      <c r="D279" s="57" t="s">
        <v>1040</v>
      </c>
      <c r="E279" s="57" t="s">
        <v>1143</v>
      </c>
      <c r="F279" s="57" t="s">
        <v>1376</v>
      </c>
      <c r="G279" s="78" t="s">
        <v>269</v>
      </c>
      <c r="H279" s="57"/>
      <c r="I279" s="57"/>
      <c r="J279" s="57"/>
      <c r="K279" s="57"/>
      <c r="L279" s="57"/>
    </row>
    <row r="280" spans="1:12" x14ac:dyDescent="0.25">
      <c r="A280" s="57" t="s">
        <v>495</v>
      </c>
      <c r="B280" s="57" t="s">
        <v>302</v>
      </c>
      <c r="C280" s="57" t="s">
        <v>496</v>
      </c>
      <c r="D280" s="57" t="s">
        <v>307</v>
      </c>
      <c r="E280" s="57" t="s">
        <v>1144</v>
      </c>
      <c r="F280" s="57" t="s">
        <v>1377</v>
      </c>
      <c r="G280" s="78" t="s">
        <v>269</v>
      </c>
      <c r="H280" s="57"/>
      <c r="I280" s="57"/>
      <c r="J280" s="57"/>
      <c r="K280" s="57"/>
      <c r="L280" s="57"/>
    </row>
    <row r="281" spans="1:12" x14ac:dyDescent="0.25">
      <c r="A281" s="57" t="s">
        <v>349</v>
      </c>
      <c r="B281" s="57" t="s">
        <v>302</v>
      </c>
      <c r="C281" s="57" t="s">
        <v>1145</v>
      </c>
      <c r="D281" s="57" t="s">
        <v>932</v>
      </c>
      <c r="E281" s="57" t="s">
        <v>1146</v>
      </c>
      <c r="F281" s="57" t="s">
        <v>1378</v>
      </c>
      <c r="G281" s="78" t="s">
        <v>269</v>
      </c>
      <c r="H281" s="57"/>
      <c r="I281" s="57"/>
      <c r="J281" s="57"/>
      <c r="K281" s="57"/>
      <c r="L281" s="57"/>
    </row>
    <row r="282" spans="1:12" x14ac:dyDescent="0.25">
      <c r="A282" s="57" t="s">
        <v>472</v>
      </c>
      <c r="B282" s="57" t="s">
        <v>302</v>
      </c>
      <c r="C282" s="57" t="s">
        <v>473</v>
      </c>
      <c r="D282" s="57" t="s">
        <v>1147</v>
      </c>
      <c r="E282" s="57" t="s">
        <v>507</v>
      </c>
      <c r="F282" s="57" t="s">
        <v>1200</v>
      </c>
      <c r="G282" s="78" t="s">
        <v>269</v>
      </c>
      <c r="H282" s="57"/>
      <c r="I282" s="57"/>
      <c r="J282" s="57"/>
      <c r="K282" s="57"/>
      <c r="L282" s="57"/>
    </row>
    <row r="283" spans="1:12" x14ac:dyDescent="0.25">
      <c r="A283" s="57" t="s">
        <v>1148</v>
      </c>
      <c r="B283" s="57" t="s">
        <v>302</v>
      </c>
      <c r="C283" s="57" t="s">
        <v>1149</v>
      </c>
      <c r="D283" s="57" t="s">
        <v>322</v>
      </c>
      <c r="E283" s="57" t="s">
        <v>1150</v>
      </c>
      <c r="F283" s="57" t="s">
        <v>1200</v>
      </c>
      <c r="G283" s="78" t="s">
        <v>269</v>
      </c>
      <c r="H283" s="57"/>
      <c r="I283" s="57"/>
      <c r="J283" s="57"/>
      <c r="K283" s="57"/>
      <c r="L283" s="57"/>
    </row>
    <row r="284" spans="1:12" x14ac:dyDescent="0.25">
      <c r="A284" s="57" t="s">
        <v>1148</v>
      </c>
      <c r="B284" s="57" t="s">
        <v>302</v>
      </c>
      <c r="C284" s="57" t="s">
        <v>1151</v>
      </c>
      <c r="D284" s="57" t="s">
        <v>626</v>
      </c>
      <c r="E284" s="57" t="s">
        <v>1152</v>
      </c>
      <c r="F284" s="57" t="s">
        <v>1379</v>
      </c>
      <c r="G284" s="78" t="s">
        <v>269</v>
      </c>
      <c r="H284" s="57"/>
      <c r="I284" s="57"/>
      <c r="J284" s="57"/>
      <c r="K284" s="57"/>
      <c r="L284" s="57"/>
    </row>
    <row r="285" spans="1:12" x14ac:dyDescent="0.25">
      <c r="A285" s="57" t="s">
        <v>1153</v>
      </c>
      <c r="B285" s="57" t="s">
        <v>302</v>
      </c>
      <c r="C285" s="57" t="s">
        <v>1154</v>
      </c>
      <c r="D285" s="57" t="s">
        <v>322</v>
      </c>
      <c r="E285" s="57" t="s">
        <v>1155</v>
      </c>
      <c r="F285" s="57" t="s">
        <v>1200</v>
      </c>
      <c r="G285" s="78" t="s">
        <v>269</v>
      </c>
      <c r="H285" s="57"/>
      <c r="I285" s="57"/>
      <c r="J285" s="57"/>
      <c r="K285" s="57"/>
      <c r="L285" s="57"/>
    </row>
    <row r="286" spans="1:12" x14ac:dyDescent="0.25">
      <c r="A286" s="57" t="s">
        <v>1156</v>
      </c>
      <c r="B286" s="57" t="s">
        <v>302</v>
      </c>
      <c r="C286" s="57" t="s">
        <v>1157</v>
      </c>
      <c r="D286" s="57" t="s">
        <v>698</v>
      </c>
      <c r="E286" s="57" t="s">
        <v>1158</v>
      </c>
      <c r="F286" s="57" t="s">
        <v>1200</v>
      </c>
      <c r="G286" s="78" t="s">
        <v>269</v>
      </c>
      <c r="H286" s="57"/>
      <c r="I286" s="57"/>
      <c r="J286" s="57"/>
      <c r="K286" s="57"/>
      <c r="L286" s="57"/>
    </row>
    <row r="287" spans="1:12" x14ac:dyDescent="0.25">
      <c r="A287" s="57" t="s">
        <v>330</v>
      </c>
      <c r="B287" s="57" t="s">
        <v>331</v>
      </c>
      <c r="C287" s="57" t="s">
        <v>339</v>
      </c>
      <c r="D287" s="57" t="s">
        <v>525</v>
      </c>
      <c r="E287" s="57" t="s">
        <v>1159</v>
      </c>
      <c r="F287" s="57" t="s">
        <v>1380</v>
      </c>
      <c r="G287" s="78" t="s">
        <v>269</v>
      </c>
      <c r="H287" s="57"/>
      <c r="I287" s="57"/>
      <c r="J287" s="57"/>
      <c r="K287" s="57"/>
      <c r="L287" s="57"/>
    </row>
    <row r="288" spans="1:12" x14ac:dyDescent="0.25">
      <c r="A288" s="57" t="s">
        <v>340</v>
      </c>
      <c r="B288" s="57" t="s">
        <v>331</v>
      </c>
      <c r="C288" s="57" t="s">
        <v>363</v>
      </c>
      <c r="D288" s="57" t="s">
        <v>1040</v>
      </c>
      <c r="E288" s="57" t="s">
        <v>96</v>
      </c>
      <c r="F288" s="57" t="s">
        <v>1381</v>
      </c>
      <c r="G288" s="78" t="s">
        <v>269</v>
      </c>
      <c r="H288" s="57"/>
      <c r="I288" s="57"/>
      <c r="J288" s="57"/>
      <c r="K288" s="57"/>
      <c r="L288" s="57"/>
    </row>
    <row r="289" spans="1:12" x14ac:dyDescent="0.25">
      <c r="A289" s="57" t="s">
        <v>334</v>
      </c>
      <c r="B289" s="57" t="s">
        <v>331</v>
      </c>
      <c r="C289" s="57" t="s">
        <v>336</v>
      </c>
      <c r="D289" s="57" t="s">
        <v>568</v>
      </c>
      <c r="E289" s="57" t="s">
        <v>335</v>
      </c>
      <c r="F289" s="57" t="s">
        <v>1382</v>
      </c>
      <c r="G289" s="78" t="s">
        <v>269</v>
      </c>
      <c r="H289" s="57"/>
      <c r="I289" s="57"/>
      <c r="J289" s="57"/>
      <c r="K289" s="57"/>
      <c r="L289" s="57"/>
    </row>
    <row r="290" spans="1:12" x14ac:dyDescent="0.25">
      <c r="A290" s="57" t="s">
        <v>1160</v>
      </c>
      <c r="B290" s="57" t="s">
        <v>331</v>
      </c>
      <c r="C290" s="57" t="s">
        <v>1161</v>
      </c>
      <c r="D290" s="57" t="s">
        <v>525</v>
      </c>
      <c r="E290" s="57" t="s">
        <v>1162</v>
      </c>
      <c r="F290" s="57" t="s">
        <v>1383</v>
      </c>
      <c r="G290" s="78" t="s">
        <v>269</v>
      </c>
      <c r="H290" s="57"/>
      <c r="I290" s="57"/>
      <c r="J290" s="57"/>
      <c r="K290" s="57"/>
      <c r="L290" s="57"/>
    </row>
    <row r="291" spans="1:12" x14ac:dyDescent="0.25">
      <c r="A291" s="57" t="s">
        <v>1163</v>
      </c>
      <c r="B291" s="57" t="s">
        <v>331</v>
      </c>
      <c r="C291" s="57" t="s">
        <v>1164</v>
      </c>
      <c r="D291" s="57" t="s">
        <v>307</v>
      </c>
      <c r="E291" s="57" t="s">
        <v>1165</v>
      </c>
      <c r="F291" s="57" t="s">
        <v>1200</v>
      </c>
      <c r="G291" s="78" t="s">
        <v>269</v>
      </c>
      <c r="H291" s="57"/>
      <c r="I291" s="57"/>
      <c r="J291" s="57"/>
      <c r="K291" s="57"/>
      <c r="L291" s="57"/>
    </row>
    <row r="292" spans="1:12" x14ac:dyDescent="0.25">
      <c r="A292" s="57" t="s">
        <v>329</v>
      </c>
      <c r="B292" s="57" t="s">
        <v>303</v>
      </c>
      <c r="C292" s="57" t="s">
        <v>1166</v>
      </c>
      <c r="D292" s="57" t="s">
        <v>525</v>
      </c>
      <c r="E292" s="57" t="s">
        <v>504</v>
      </c>
      <c r="F292" s="57" t="s">
        <v>1384</v>
      </c>
      <c r="G292" s="78" t="s">
        <v>269</v>
      </c>
      <c r="H292" s="57"/>
      <c r="I292" s="57"/>
      <c r="J292" s="57"/>
      <c r="K292" s="57"/>
      <c r="L292" s="57"/>
    </row>
    <row r="293" spans="1:12" x14ac:dyDescent="0.25">
      <c r="A293" s="57" t="s">
        <v>337</v>
      </c>
      <c r="B293" s="57" t="s">
        <v>303</v>
      </c>
      <c r="C293" s="57" t="s">
        <v>408</v>
      </c>
      <c r="D293" s="57" t="s">
        <v>854</v>
      </c>
      <c r="E293" s="57" t="s">
        <v>489</v>
      </c>
      <c r="F293" s="57" t="s">
        <v>1385</v>
      </c>
      <c r="G293" s="78" t="s">
        <v>269</v>
      </c>
      <c r="H293" s="57"/>
      <c r="I293" s="57"/>
      <c r="J293" s="57"/>
      <c r="K293" s="57"/>
      <c r="L293" s="57"/>
    </row>
    <row r="294" spans="1:12" x14ac:dyDescent="0.25">
      <c r="A294" s="57" t="s">
        <v>342</v>
      </c>
      <c r="B294" s="57" t="s">
        <v>303</v>
      </c>
      <c r="C294" s="57" t="s">
        <v>1167</v>
      </c>
      <c r="D294" s="57" t="s">
        <v>626</v>
      </c>
      <c r="E294" s="57" t="s">
        <v>1168</v>
      </c>
      <c r="F294" s="57" t="s">
        <v>1386</v>
      </c>
      <c r="G294" s="78" t="s">
        <v>269</v>
      </c>
      <c r="H294" s="57"/>
      <c r="I294" s="57"/>
      <c r="J294" s="57"/>
      <c r="K294" s="57"/>
      <c r="L294" s="57"/>
    </row>
    <row r="295" spans="1:12" x14ac:dyDescent="0.25">
      <c r="A295" s="57" t="s">
        <v>1160</v>
      </c>
      <c r="B295" s="57" t="s">
        <v>303</v>
      </c>
      <c r="C295" s="57" t="s">
        <v>1169</v>
      </c>
      <c r="D295" s="57" t="s">
        <v>1040</v>
      </c>
      <c r="E295" s="57" t="s">
        <v>1170</v>
      </c>
      <c r="F295" s="57" t="s">
        <v>1387</v>
      </c>
      <c r="G295" s="78" t="s">
        <v>269</v>
      </c>
      <c r="H295" s="57"/>
      <c r="I295" s="57"/>
      <c r="J295" s="57"/>
      <c r="K295" s="57"/>
      <c r="L295" s="57"/>
    </row>
    <row r="296" spans="1:12" x14ac:dyDescent="0.25">
      <c r="A296" s="57" t="s">
        <v>570</v>
      </c>
      <c r="B296" s="57" t="s">
        <v>303</v>
      </c>
      <c r="C296" s="57" t="s">
        <v>1171</v>
      </c>
      <c r="D296" s="57" t="s">
        <v>1040</v>
      </c>
      <c r="E296" s="57" t="s">
        <v>1172</v>
      </c>
      <c r="F296" s="57" t="s">
        <v>1200</v>
      </c>
      <c r="G296" s="78" t="s">
        <v>269</v>
      </c>
      <c r="H296" s="57"/>
      <c r="I296" s="57"/>
      <c r="J296" s="57"/>
      <c r="K296" s="57"/>
      <c r="L296" s="57"/>
    </row>
    <row r="297" spans="1:12" x14ac:dyDescent="0.25">
      <c r="A297" s="57" t="s">
        <v>1173</v>
      </c>
      <c r="B297" s="57" t="s">
        <v>303</v>
      </c>
      <c r="C297" s="57" t="s">
        <v>1174</v>
      </c>
      <c r="D297" s="57" t="s">
        <v>525</v>
      </c>
      <c r="E297" s="57" t="s">
        <v>1175</v>
      </c>
      <c r="F297" s="57" t="s">
        <v>1388</v>
      </c>
      <c r="G297" s="78" t="s">
        <v>269</v>
      </c>
      <c r="H297" s="57"/>
      <c r="I297" s="57"/>
      <c r="J297" s="57"/>
      <c r="K297" s="57"/>
      <c r="L297" s="57"/>
    </row>
    <row r="298" spans="1:12" x14ac:dyDescent="0.25">
      <c r="A298" s="57" t="s">
        <v>1176</v>
      </c>
      <c r="B298" s="57" t="s">
        <v>303</v>
      </c>
      <c r="C298" s="57" t="s">
        <v>1177</v>
      </c>
      <c r="D298" s="57" t="s">
        <v>525</v>
      </c>
      <c r="E298" s="57" t="s">
        <v>1178</v>
      </c>
      <c r="F298" s="57" t="s">
        <v>1389</v>
      </c>
      <c r="G298" s="78" t="s">
        <v>269</v>
      </c>
      <c r="H298" s="57"/>
      <c r="I298" s="57"/>
      <c r="J298" s="57"/>
      <c r="K298" s="57"/>
      <c r="L298" s="57"/>
    </row>
    <row r="299" spans="1:12" x14ac:dyDescent="0.25">
      <c r="A299" s="57" t="s">
        <v>905</v>
      </c>
      <c r="B299" s="57" t="s">
        <v>303</v>
      </c>
      <c r="C299" s="57" t="s">
        <v>1179</v>
      </c>
      <c r="D299" s="57" t="s">
        <v>572</v>
      </c>
      <c r="E299" s="57" t="s">
        <v>1180</v>
      </c>
      <c r="F299" s="57" t="s">
        <v>1390</v>
      </c>
      <c r="G299" s="78" t="s">
        <v>269</v>
      </c>
      <c r="H299" s="57"/>
      <c r="I299" s="57"/>
      <c r="J299" s="57"/>
      <c r="K299" s="57"/>
      <c r="L299" s="57"/>
    </row>
    <row r="300" spans="1:12" x14ac:dyDescent="0.25">
      <c r="A300" s="57" t="s">
        <v>1181</v>
      </c>
      <c r="B300" s="57" t="s">
        <v>303</v>
      </c>
      <c r="C300" s="57" t="s">
        <v>1182</v>
      </c>
      <c r="D300" s="57" t="s">
        <v>854</v>
      </c>
      <c r="E300" s="57" t="s">
        <v>1183</v>
      </c>
      <c r="F300" s="57" t="s">
        <v>1391</v>
      </c>
      <c r="G300" s="78" t="s">
        <v>269</v>
      </c>
      <c r="H300" s="57"/>
      <c r="I300" s="57"/>
      <c r="J300" s="57"/>
      <c r="K300" s="57"/>
      <c r="L300" s="57"/>
    </row>
    <row r="301" spans="1:12" x14ac:dyDescent="0.25">
      <c r="A301" s="57" t="s">
        <v>1184</v>
      </c>
      <c r="B301" s="57" t="s">
        <v>303</v>
      </c>
      <c r="C301" s="57" t="s">
        <v>1185</v>
      </c>
      <c r="D301" s="57" t="s">
        <v>665</v>
      </c>
      <c r="E301" s="57" t="s">
        <v>1186</v>
      </c>
      <c r="F301" s="57" t="s">
        <v>1200</v>
      </c>
      <c r="G301" s="78" t="s">
        <v>269</v>
      </c>
      <c r="H301" s="57"/>
      <c r="I301" s="57"/>
      <c r="J301" s="57"/>
      <c r="K301" s="57"/>
      <c r="L301" s="57"/>
    </row>
    <row r="302" spans="1:12" x14ac:dyDescent="0.25">
      <c r="A302" s="57" t="s">
        <v>1187</v>
      </c>
      <c r="B302" s="57" t="s">
        <v>303</v>
      </c>
      <c r="C302" s="57" t="s">
        <v>1188</v>
      </c>
      <c r="D302" s="57" t="s">
        <v>609</v>
      </c>
      <c r="E302" s="57" t="s">
        <v>1189</v>
      </c>
      <c r="F302" s="57" t="s">
        <v>1200</v>
      </c>
      <c r="G302" s="78" t="s">
        <v>269</v>
      </c>
      <c r="H302" s="57"/>
      <c r="I302" s="57"/>
      <c r="J302" s="57"/>
      <c r="K302" s="57"/>
      <c r="L302" s="57"/>
    </row>
    <row r="303" spans="1:12" x14ac:dyDescent="0.25">
      <c r="A303" s="57" t="s">
        <v>1163</v>
      </c>
      <c r="B303" s="57" t="s">
        <v>1190</v>
      </c>
      <c r="C303" s="57" t="s">
        <v>1191</v>
      </c>
      <c r="D303" s="57" t="s">
        <v>611</v>
      </c>
      <c r="E303" s="57" t="s">
        <v>1192</v>
      </c>
      <c r="F303" s="57" t="s">
        <v>1200</v>
      </c>
      <c r="G303" s="78" t="s">
        <v>269</v>
      </c>
      <c r="H303" s="57"/>
      <c r="I303" s="57"/>
      <c r="J303" s="57"/>
      <c r="K303" s="57"/>
      <c r="L303" s="57"/>
    </row>
    <row r="304" spans="1:12" x14ac:dyDescent="0.25">
      <c r="A304" s="57" t="s">
        <v>1193</v>
      </c>
      <c r="B304" s="57" t="s">
        <v>317</v>
      </c>
      <c r="C304" s="57" t="s">
        <v>176</v>
      </c>
      <c r="D304" s="57" t="s">
        <v>815</v>
      </c>
      <c r="E304" s="57" t="s">
        <v>178</v>
      </c>
      <c r="F304" s="57" t="s">
        <v>1392</v>
      </c>
      <c r="G304" s="78" t="s">
        <v>269</v>
      </c>
      <c r="H304" s="57"/>
      <c r="I304" s="57"/>
      <c r="J304" s="57"/>
      <c r="K304" s="57"/>
      <c r="L304" s="57"/>
    </row>
    <row r="305" spans="1:12" x14ac:dyDescent="0.25">
      <c r="A305" s="57" t="s">
        <v>565</v>
      </c>
      <c r="B305" s="57" t="s">
        <v>317</v>
      </c>
      <c r="C305" s="57" t="s">
        <v>1194</v>
      </c>
      <c r="D305" s="57" t="s">
        <v>1040</v>
      </c>
      <c r="E305" s="57" t="s">
        <v>1195</v>
      </c>
      <c r="F305" s="57" t="s">
        <v>1393</v>
      </c>
      <c r="G305" s="78" t="s">
        <v>269</v>
      </c>
      <c r="H305" s="57"/>
      <c r="I305" s="57"/>
      <c r="J305" s="57"/>
      <c r="K305" s="57"/>
      <c r="L305" s="57"/>
    </row>
    <row r="306" spans="1:12" x14ac:dyDescent="0.25">
      <c r="A306" s="57" t="s">
        <v>324</v>
      </c>
      <c r="B306" s="57" t="s">
        <v>513</v>
      </c>
      <c r="C306" s="57" t="s">
        <v>170</v>
      </c>
      <c r="D306" s="57" t="s">
        <v>609</v>
      </c>
      <c r="E306" s="57" t="s">
        <v>564</v>
      </c>
      <c r="F306" s="57" t="s">
        <v>1198</v>
      </c>
      <c r="G306" s="78" t="s">
        <v>269</v>
      </c>
      <c r="H306" s="57"/>
      <c r="I306" s="57"/>
      <c r="J306" s="57"/>
      <c r="K306" s="57"/>
      <c r="L306" s="57"/>
    </row>
    <row r="307" spans="1:12" x14ac:dyDescent="0.25">
      <c r="A307" s="57" t="s">
        <v>1077</v>
      </c>
      <c r="B307" s="57" t="s">
        <v>107</v>
      </c>
      <c r="C307" s="57" t="s">
        <v>1196</v>
      </c>
      <c r="D307" s="57" t="s">
        <v>270</v>
      </c>
      <c r="E307" s="57" t="s">
        <v>1197</v>
      </c>
      <c r="F307" s="57" t="s">
        <v>1200</v>
      </c>
      <c r="G307" s="78" t="s">
        <v>269</v>
      </c>
      <c r="H307" s="57"/>
      <c r="I307" s="57"/>
      <c r="J307" s="57"/>
      <c r="K307" s="57"/>
      <c r="L307" s="57"/>
    </row>
    <row r="308" spans="1:12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</row>
    <row r="309" spans="1:12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</row>
    <row r="310" spans="1:12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</row>
    <row r="311" spans="1:12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</row>
    <row r="312" spans="1:12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</row>
    <row r="313" spans="1:12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</row>
    <row r="314" spans="1:12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</row>
    <row r="315" spans="1:12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</row>
    <row r="316" spans="1:12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</row>
    <row r="317" spans="1:12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</row>
    <row r="318" spans="1:12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</row>
    <row r="319" spans="1:12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</row>
    <row r="320" spans="1:12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</row>
    <row r="321" spans="1:12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</row>
    <row r="322" spans="1:12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</row>
    <row r="323" spans="1:12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</row>
    <row r="324" spans="1:12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</row>
    <row r="325" spans="1:12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</row>
    <row r="326" spans="1:12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</row>
    <row r="327" spans="1:12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</row>
    <row r="328" spans="1:12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</row>
    <row r="329" spans="1:12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</row>
    <row r="330" spans="1:12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</row>
    <row r="331" spans="1:12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</row>
    <row r="332" spans="1:12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</row>
    <row r="333" spans="1:12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</row>
    <row r="334" spans="1:12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</row>
    <row r="335" spans="1:12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</row>
    <row r="336" spans="1:12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</row>
    <row r="337" spans="1:12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</row>
    <row r="338" spans="1:12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</row>
    <row r="339" spans="1:12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</row>
    <row r="340" spans="1:12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</row>
    <row r="341" spans="1:12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</row>
    <row r="342" spans="1:12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</row>
    <row r="343" spans="1:12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</row>
    <row r="344" spans="1:12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</row>
    <row r="345" spans="1:12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</row>
    <row r="346" spans="1:12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</row>
    <row r="347" spans="1:12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</row>
    <row r="348" spans="1:12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</row>
    <row r="349" spans="1:12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</row>
    <row r="350" spans="1:12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</row>
    <row r="351" spans="1:12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</row>
    <row r="352" spans="1:12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</row>
    <row r="353" spans="1:12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</row>
    <row r="354" spans="1:12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</row>
    <row r="355" spans="1:12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</row>
    <row r="356" spans="1:12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</row>
    <row r="357" spans="1:12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</row>
    <row r="358" spans="1:12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</row>
    <row r="359" spans="1:12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</row>
    <row r="360" spans="1:12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</row>
    <row r="361" spans="1:12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</row>
    <row r="362" spans="1:12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</row>
    <row r="363" spans="1:12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</row>
    <row r="364" spans="1:12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</row>
    <row r="365" spans="1:12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</row>
    <row r="366" spans="1:12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</row>
    <row r="367" spans="1:12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</row>
    <row r="368" spans="1:12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</row>
    <row r="369" spans="1:12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</row>
    <row r="370" spans="1:12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</row>
    <row r="371" spans="1:12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</row>
    <row r="372" spans="1:12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</row>
    <row r="373" spans="1:12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</row>
    <row r="374" spans="1:12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</row>
    <row r="375" spans="1:12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</row>
    <row r="376" spans="1:12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</row>
    <row r="377" spans="1:12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</row>
    <row r="378" spans="1:12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</row>
    <row r="379" spans="1:12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</row>
    <row r="380" spans="1:12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</row>
    <row r="381" spans="1:12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</row>
    <row r="382" spans="1:12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</row>
    <row r="383" spans="1:12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</row>
    <row r="384" spans="1:12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</row>
    <row r="385" spans="1:12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</row>
    <row r="386" spans="1:12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</row>
    <row r="387" spans="1:12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</row>
    <row r="388" spans="1:12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</row>
    <row r="389" spans="1:12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</row>
    <row r="390" spans="1:12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</row>
    <row r="391" spans="1:12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</row>
    <row r="392" spans="1:12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</row>
    <row r="393" spans="1:12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</row>
    <row r="394" spans="1:12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</row>
    <row r="395" spans="1:12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</row>
    <row r="396" spans="1:12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</row>
    <row r="397" spans="1:12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</row>
    <row r="398" spans="1:12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</row>
    <row r="399" spans="1:12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</row>
    <row r="400" spans="1:12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</row>
    <row r="401" spans="1:12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</row>
    <row r="402" spans="1:12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</row>
    <row r="403" spans="1:12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</row>
    <row r="404" spans="1:12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</row>
    <row r="405" spans="1:12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</row>
    <row r="406" spans="1:12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</row>
    <row r="407" spans="1:12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</row>
    <row r="408" spans="1:12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</row>
    <row r="409" spans="1:12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</row>
    <row r="410" spans="1:12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</row>
    <row r="411" spans="1:12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</row>
    <row r="412" spans="1:12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</row>
    <row r="413" spans="1:12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</row>
    <row r="414" spans="1:12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</row>
    <row r="415" spans="1:12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</row>
    <row r="416" spans="1:12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</row>
    <row r="417" spans="1:12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</row>
    <row r="418" spans="1:12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</row>
    <row r="419" spans="1:12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</row>
    <row r="420" spans="1:12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</row>
    <row r="421" spans="1:12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</row>
    <row r="422" spans="1:12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</row>
    <row r="423" spans="1:12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</row>
    <row r="424" spans="1:12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</row>
    <row r="425" spans="1:12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</row>
    <row r="426" spans="1:12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</row>
    <row r="427" spans="1:12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</row>
    <row r="428" spans="1:12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</row>
    <row r="429" spans="1:12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</row>
    <row r="430" spans="1:12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</row>
    <row r="431" spans="1:12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</row>
    <row r="432" spans="1:12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</row>
    <row r="433" spans="1:12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</row>
    <row r="434" spans="1:12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</row>
    <row r="435" spans="1:12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</row>
    <row r="436" spans="1:12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</row>
    <row r="437" spans="1:12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</row>
    <row r="438" spans="1:12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</row>
    <row r="439" spans="1:12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</row>
    <row r="440" spans="1:12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</row>
    <row r="441" spans="1:12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</row>
    <row r="442" spans="1:12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</row>
    <row r="443" spans="1:12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</row>
    <row r="444" spans="1:12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</row>
    <row r="445" spans="1:12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</row>
    <row r="446" spans="1:12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</row>
    <row r="447" spans="1:12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</row>
    <row r="448" spans="1:12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</row>
    <row r="449" spans="1:12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</row>
    <row r="450" spans="1:12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</row>
    <row r="451" spans="1:12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</row>
    <row r="452" spans="1:12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</row>
    <row r="453" spans="1:12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</row>
    <row r="454" spans="1:12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</row>
    <row r="455" spans="1:12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</row>
    <row r="456" spans="1:12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</row>
    <row r="457" spans="1:12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</row>
    <row r="458" spans="1:12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</row>
    <row r="459" spans="1:12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</row>
    <row r="460" spans="1:12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</row>
    <row r="461" spans="1:12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</row>
    <row r="462" spans="1:12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</row>
    <row r="463" spans="1:12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</row>
    <row r="464" spans="1:12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</row>
    <row r="465" spans="1:12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</row>
    <row r="466" spans="1:12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</row>
    <row r="467" spans="1:12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</row>
    <row r="468" spans="1:12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</row>
    <row r="469" spans="1:12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</row>
    <row r="470" spans="1:12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</row>
    <row r="471" spans="1:12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</row>
    <row r="472" spans="1:12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</row>
    <row r="473" spans="1:12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</row>
    <row r="474" spans="1:12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</row>
    <row r="475" spans="1:12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</row>
    <row r="476" spans="1:12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</row>
    <row r="477" spans="1:12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</row>
    <row r="478" spans="1:12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</row>
    <row r="479" spans="1:12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</row>
    <row r="480" spans="1:12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</row>
    <row r="481" spans="1:12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</row>
    <row r="482" spans="1:12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</row>
    <row r="483" spans="1:12" x14ac:dyDescent="0.25">
      <c r="A483" s="57"/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</row>
    <row r="484" spans="1:12" x14ac:dyDescent="0.25">
      <c r="A484" s="57"/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</row>
    <row r="485" spans="1:12" x14ac:dyDescent="0.25">
      <c r="A485" s="57"/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</row>
    <row r="486" spans="1:12" x14ac:dyDescent="0.25">
      <c r="A486" s="57"/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</row>
    <row r="487" spans="1:12" x14ac:dyDescent="0.25">
      <c r="A487" s="57"/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</row>
    <row r="488" spans="1:12" x14ac:dyDescent="0.25">
      <c r="A488" s="57"/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</row>
    <row r="489" spans="1:12" x14ac:dyDescent="0.25">
      <c r="A489" s="57"/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</row>
    <row r="490" spans="1:12" x14ac:dyDescent="0.25">
      <c r="A490" s="57"/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</row>
    <row r="491" spans="1:12" x14ac:dyDescent="0.25">
      <c r="A491" s="57"/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</row>
    <row r="492" spans="1:12" x14ac:dyDescent="0.25">
      <c r="A492" s="57"/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</row>
    <row r="493" spans="1:12" x14ac:dyDescent="0.25">
      <c r="A493" s="57"/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</row>
    <row r="494" spans="1:12" x14ac:dyDescent="0.25">
      <c r="A494" s="57"/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</row>
    <row r="495" spans="1:12" x14ac:dyDescent="0.25">
      <c r="A495" s="57"/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</row>
    <row r="496" spans="1:12" x14ac:dyDescent="0.25">
      <c r="A496" s="57"/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</row>
    <row r="497" spans="1:12" x14ac:dyDescent="0.25">
      <c r="A497" s="57"/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</row>
    <row r="498" spans="1:12" x14ac:dyDescent="0.25">
      <c r="A498" s="57"/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</row>
    <row r="499" spans="1:12" x14ac:dyDescent="0.25">
      <c r="A499" s="57"/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</row>
    <row r="500" spans="1:12" x14ac:dyDescent="0.25">
      <c r="A500" s="57"/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</row>
    <row r="501" spans="1:12" x14ac:dyDescent="0.25">
      <c r="A501" s="57"/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</row>
    <row r="502" spans="1:12" x14ac:dyDescent="0.25">
      <c r="A502" s="57"/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</row>
    <row r="503" spans="1:12" x14ac:dyDescent="0.25">
      <c r="A503" s="57"/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</row>
    <row r="504" spans="1:12" x14ac:dyDescent="0.25">
      <c r="A504" s="57"/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</row>
    <row r="505" spans="1:12" x14ac:dyDescent="0.25">
      <c r="A505" s="57"/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</row>
    <row r="506" spans="1:12" x14ac:dyDescent="0.25">
      <c r="A506" s="57"/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</row>
    <row r="507" spans="1:12" x14ac:dyDescent="0.25">
      <c r="A507" s="57"/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</row>
    <row r="508" spans="1:12" x14ac:dyDescent="0.25">
      <c r="A508" s="57"/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</row>
    <row r="509" spans="1:12" x14ac:dyDescent="0.25">
      <c r="A509" s="57"/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</row>
    <row r="510" spans="1:12" x14ac:dyDescent="0.25">
      <c r="A510" s="57"/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</row>
    <row r="511" spans="1:12" x14ac:dyDescent="0.25">
      <c r="A511" s="57"/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</row>
    <row r="512" spans="1:12" x14ac:dyDescent="0.25">
      <c r="A512" s="57"/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</row>
    <row r="513" spans="1:12" x14ac:dyDescent="0.25">
      <c r="A513" s="57"/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</row>
    <row r="514" spans="1:12" x14ac:dyDescent="0.25">
      <c r="A514" s="57"/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</row>
    <row r="515" spans="1:12" x14ac:dyDescent="0.25">
      <c r="A515" s="57"/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</row>
    <row r="516" spans="1:12" x14ac:dyDescent="0.25">
      <c r="A516" s="57"/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</row>
    <row r="517" spans="1:12" x14ac:dyDescent="0.25">
      <c r="A517" s="57"/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</row>
    <row r="518" spans="1:12" x14ac:dyDescent="0.25">
      <c r="A518" s="57"/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</row>
    <row r="519" spans="1:12" x14ac:dyDescent="0.25">
      <c r="A519" s="57"/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</row>
    <row r="520" spans="1:12" x14ac:dyDescent="0.25">
      <c r="A520" s="57"/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</row>
    <row r="521" spans="1:12" x14ac:dyDescent="0.25">
      <c r="A521" s="57"/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</row>
    <row r="522" spans="1:12" x14ac:dyDescent="0.25">
      <c r="A522" s="57"/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</row>
    <row r="523" spans="1:12" x14ac:dyDescent="0.25">
      <c r="A523" s="57"/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</row>
    <row r="524" spans="1:12" x14ac:dyDescent="0.25">
      <c r="A524" s="57"/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</row>
    <row r="525" spans="1:12" x14ac:dyDescent="0.25">
      <c r="A525" s="57"/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</row>
    <row r="526" spans="1:12" x14ac:dyDescent="0.25">
      <c r="A526" s="57"/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</row>
    <row r="527" spans="1:12" x14ac:dyDescent="0.25">
      <c r="A527" s="57"/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</row>
    <row r="528" spans="1:12" x14ac:dyDescent="0.25">
      <c r="A528" s="57"/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</row>
    <row r="529" spans="1:12" x14ac:dyDescent="0.25">
      <c r="A529" s="57"/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</row>
    <row r="530" spans="1:12" x14ac:dyDescent="0.25">
      <c r="A530" s="57"/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</row>
    <row r="531" spans="1:12" x14ac:dyDescent="0.25">
      <c r="A531" s="57"/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</row>
    <row r="532" spans="1:12" x14ac:dyDescent="0.25">
      <c r="A532" s="57"/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</row>
    <row r="533" spans="1:12" x14ac:dyDescent="0.25">
      <c r="A533" s="57"/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</row>
    <row r="534" spans="1:12" x14ac:dyDescent="0.25">
      <c r="A534" s="57"/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</row>
    <row r="535" spans="1:12" x14ac:dyDescent="0.25">
      <c r="A535" s="57"/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</row>
    <row r="536" spans="1:12" x14ac:dyDescent="0.25">
      <c r="A536" s="57"/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</row>
    <row r="537" spans="1:12" x14ac:dyDescent="0.25">
      <c r="A537" s="57"/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</row>
    <row r="538" spans="1:12" x14ac:dyDescent="0.25">
      <c r="A538" s="57"/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</row>
    <row r="539" spans="1:12" x14ac:dyDescent="0.25">
      <c r="A539" s="57"/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</row>
    <row r="540" spans="1:12" x14ac:dyDescent="0.25">
      <c r="A540" s="57"/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</row>
    <row r="541" spans="1:12" x14ac:dyDescent="0.25">
      <c r="A541" s="57"/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</row>
    <row r="542" spans="1:12" x14ac:dyDescent="0.25">
      <c r="A542" s="57"/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</row>
    <row r="543" spans="1:12" x14ac:dyDescent="0.25">
      <c r="A543" s="57"/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</row>
    <row r="544" spans="1:12" x14ac:dyDescent="0.25">
      <c r="A544" s="57"/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</row>
    <row r="545" spans="1:12" x14ac:dyDescent="0.25">
      <c r="A545" s="57"/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</row>
    <row r="546" spans="1:12" x14ac:dyDescent="0.25">
      <c r="A546" s="57"/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</row>
    <row r="547" spans="1:12" x14ac:dyDescent="0.25">
      <c r="A547" s="57"/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</row>
    <row r="548" spans="1:12" x14ac:dyDescent="0.25">
      <c r="A548" s="57"/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</row>
    <row r="549" spans="1:12" x14ac:dyDescent="0.25">
      <c r="A549" s="57"/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</row>
    <row r="550" spans="1:12" x14ac:dyDescent="0.25">
      <c r="A550" s="57"/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</row>
    <row r="551" spans="1:12" x14ac:dyDescent="0.25">
      <c r="A551" s="57"/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</row>
    <row r="552" spans="1:12" x14ac:dyDescent="0.25">
      <c r="A552" s="57"/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</row>
    <row r="553" spans="1:12" x14ac:dyDescent="0.25">
      <c r="A553" s="57"/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</row>
    <row r="554" spans="1:12" x14ac:dyDescent="0.25">
      <c r="A554" s="57"/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</row>
    <row r="555" spans="1:12" x14ac:dyDescent="0.25">
      <c r="A555" s="57"/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</row>
    <row r="556" spans="1:12" x14ac:dyDescent="0.25">
      <c r="A556" s="57"/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</row>
    <row r="557" spans="1:12" x14ac:dyDescent="0.25">
      <c r="A557" s="57"/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</row>
    <row r="558" spans="1:12" x14ac:dyDescent="0.25">
      <c r="A558" s="57"/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</row>
    <row r="559" spans="1:12" x14ac:dyDescent="0.25">
      <c r="A559" s="57"/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</row>
    <row r="560" spans="1:12" x14ac:dyDescent="0.25">
      <c r="A560" s="57"/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</row>
    <row r="561" spans="1:12" x14ac:dyDescent="0.25">
      <c r="A561" s="57"/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</row>
    <row r="562" spans="1:12" x14ac:dyDescent="0.25">
      <c r="A562" s="57"/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</row>
    <row r="563" spans="1:12" x14ac:dyDescent="0.25">
      <c r="A563" s="57"/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</row>
    <row r="564" spans="1:12" x14ac:dyDescent="0.25">
      <c r="A564" s="57"/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</row>
    <row r="565" spans="1:12" x14ac:dyDescent="0.25">
      <c r="A565" s="57"/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</row>
    <row r="566" spans="1:12" x14ac:dyDescent="0.25">
      <c r="A566" s="57"/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</row>
    <row r="567" spans="1:12" x14ac:dyDescent="0.25">
      <c r="A567" s="57"/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</row>
    <row r="568" spans="1:12" x14ac:dyDescent="0.25">
      <c r="A568" s="57"/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</row>
    <row r="569" spans="1:12" x14ac:dyDescent="0.25">
      <c r="A569" s="57"/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</row>
    <row r="570" spans="1:12" x14ac:dyDescent="0.25">
      <c r="A570" s="57"/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</row>
    <row r="571" spans="1:12" x14ac:dyDescent="0.25">
      <c r="A571" s="57"/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</row>
    <row r="572" spans="1:12" x14ac:dyDescent="0.25">
      <c r="A572" s="57"/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</row>
    <row r="573" spans="1:12" x14ac:dyDescent="0.25">
      <c r="A573" s="57"/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</row>
    <row r="574" spans="1:12" x14ac:dyDescent="0.25">
      <c r="A574" s="57"/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</row>
    <row r="575" spans="1:12" x14ac:dyDescent="0.25">
      <c r="A575" s="57"/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</row>
    <row r="576" spans="1:12" x14ac:dyDescent="0.25">
      <c r="A576" s="57"/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</row>
    <row r="577" spans="1:12" x14ac:dyDescent="0.25">
      <c r="A577" s="57"/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</row>
    <row r="578" spans="1:12" x14ac:dyDescent="0.25">
      <c r="A578" s="57"/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</row>
    <row r="579" spans="1:12" x14ac:dyDescent="0.25">
      <c r="A579" s="57"/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</row>
    <row r="580" spans="1:12" x14ac:dyDescent="0.25">
      <c r="A580" s="57"/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</row>
    <row r="581" spans="1:12" x14ac:dyDescent="0.25">
      <c r="A581" s="57"/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</row>
    <row r="582" spans="1:12" x14ac:dyDescent="0.25">
      <c r="A582" s="57"/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</row>
    <row r="583" spans="1:12" x14ac:dyDescent="0.25">
      <c r="A583" s="57"/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</row>
    <row r="584" spans="1:12" x14ac:dyDescent="0.25">
      <c r="A584" s="57"/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</row>
    <row r="585" spans="1:12" x14ac:dyDescent="0.25">
      <c r="A585" s="57"/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</row>
    <row r="586" spans="1:12" x14ac:dyDescent="0.25">
      <c r="A586" s="57"/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</row>
    <row r="587" spans="1:12" x14ac:dyDescent="0.25">
      <c r="A587" s="57"/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</row>
    <row r="588" spans="1:12" x14ac:dyDescent="0.25">
      <c r="A588" s="57"/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</row>
    <row r="589" spans="1:12" x14ac:dyDescent="0.25">
      <c r="A589" s="57"/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</row>
    <row r="590" spans="1:12" x14ac:dyDescent="0.25">
      <c r="A590" s="57"/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</row>
    <row r="591" spans="1:12" x14ac:dyDescent="0.25">
      <c r="A591" s="57"/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</row>
    <row r="592" spans="1:12" x14ac:dyDescent="0.25">
      <c r="A592" s="57"/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</row>
    <row r="593" spans="1:12" x14ac:dyDescent="0.25">
      <c r="A593" s="57"/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</row>
    <row r="594" spans="1:12" x14ac:dyDescent="0.25">
      <c r="A594" s="57"/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</row>
    <row r="595" spans="1:12" x14ac:dyDescent="0.25">
      <c r="A595" s="57"/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</row>
    <row r="596" spans="1:12" x14ac:dyDescent="0.25">
      <c r="A596" s="57"/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</row>
    <row r="597" spans="1:12" x14ac:dyDescent="0.25">
      <c r="A597" s="57"/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</row>
    <row r="598" spans="1:12" x14ac:dyDescent="0.25">
      <c r="A598" s="57"/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</row>
    <row r="599" spans="1:12" x14ac:dyDescent="0.25">
      <c r="A599" s="57"/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</row>
    <row r="600" spans="1:12" x14ac:dyDescent="0.25">
      <c r="A600" s="57"/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</row>
    <row r="601" spans="1:12" x14ac:dyDescent="0.25">
      <c r="A601" s="57"/>
      <c r="B601" s="57"/>
      <c r="C601" s="57"/>
      <c r="D601" s="57"/>
      <c r="E601" s="57"/>
      <c r="F601" s="57"/>
      <c r="G601" s="57"/>
      <c r="H601" s="57"/>
      <c r="I601" s="57"/>
      <c r="J601" s="57"/>
      <c r="K601" s="57"/>
      <c r="L601" s="57"/>
    </row>
    <row r="602" spans="1:12" x14ac:dyDescent="0.25">
      <c r="A602" s="57"/>
      <c r="B602" s="57"/>
      <c r="C602" s="57"/>
      <c r="D602" s="57"/>
      <c r="E602" s="57"/>
      <c r="F602" s="57"/>
      <c r="G602" s="57"/>
      <c r="H602" s="57"/>
      <c r="I602" s="57"/>
      <c r="J602" s="57"/>
      <c r="K602" s="57"/>
      <c r="L602" s="57"/>
    </row>
    <row r="603" spans="1:12" x14ac:dyDescent="0.25">
      <c r="A603" s="57"/>
      <c r="B603" s="57"/>
      <c r="C603" s="57"/>
      <c r="D603" s="57"/>
      <c r="E603" s="57"/>
      <c r="F603" s="57"/>
      <c r="G603" s="57"/>
      <c r="H603" s="57"/>
      <c r="I603" s="57"/>
      <c r="J603" s="57"/>
      <c r="K603" s="57"/>
      <c r="L603" s="57"/>
    </row>
    <row r="604" spans="1:12" x14ac:dyDescent="0.25">
      <c r="A604" s="57"/>
      <c r="B604" s="57"/>
      <c r="C604" s="57"/>
      <c r="D604" s="57"/>
      <c r="E604" s="57"/>
      <c r="F604" s="57"/>
      <c r="G604" s="57"/>
      <c r="H604" s="57"/>
      <c r="I604" s="57"/>
      <c r="J604" s="57"/>
      <c r="K604" s="57"/>
      <c r="L604" s="57"/>
    </row>
    <row r="605" spans="1:12" x14ac:dyDescent="0.25">
      <c r="A605" s="57"/>
      <c r="B605" s="57"/>
      <c r="C605" s="57"/>
      <c r="D605" s="57"/>
      <c r="E605" s="57"/>
      <c r="F605" s="57"/>
      <c r="G605" s="57"/>
      <c r="H605" s="57"/>
      <c r="I605" s="57"/>
      <c r="J605" s="57"/>
      <c r="K605" s="57"/>
      <c r="L605" s="57"/>
    </row>
    <row r="606" spans="1:12" x14ac:dyDescent="0.25">
      <c r="A606" s="57"/>
      <c r="B606" s="57"/>
      <c r="C606" s="57"/>
      <c r="D606" s="57"/>
      <c r="E606" s="57"/>
      <c r="F606" s="57"/>
      <c r="G606" s="57"/>
      <c r="H606" s="57"/>
      <c r="I606" s="57"/>
      <c r="J606" s="57"/>
      <c r="K606" s="57"/>
      <c r="L606" s="57"/>
    </row>
    <row r="607" spans="1:12" x14ac:dyDescent="0.25">
      <c r="A607" s="57"/>
      <c r="B607" s="57"/>
      <c r="C607" s="57"/>
      <c r="D607" s="57"/>
      <c r="E607" s="57"/>
      <c r="F607" s="57"/>
      <c r="G607" s="57"/>
      <c r="H607" s="57"/>
      <c r="I607" s="57"/>
      <c r="J607" s="57"/>
      <c r="K607" s="57"/>
      <c r="L607" s="57"/>
    </row>
    <row r="608" spans="1:12" x14ac:dyDescent="0.25">
      <c r="A608" s="57"/>
      <c r="B608" s="57"/>
      <c r="C608" s="57"/>
      <c r="D608" s="57"/>
      <c r="E608" s="57"/>
      <c r="F608" s="57"/>
      <c r="G608" s="57"/>
      <c r="H608" s="57"/>
      <c r="I608" s="57"/>
      <c r="J608" s="57"/>
      <c r="K608" s="57"/>
      <c r="L608" s="57"/>
    </row>
    <row r="609" spans="1:12" x14ac:dyDescent="0.25">
      <c r="A609" s="57"/>
      <c r="B609" s="57"/>
      <c r="C609" s="57"/>
      <c r="D609" s="57"/>
      <c r="E609" s="57"/>
      <c r="F609" s="57"/>
      <c r="G609" s="57"/>
      <c r="H609" s="57"/>
      <c r="I609" s="57"/>
      <c r="J609" s="57"/>
      <c r="K609" s="57"/>
      <c r="L609" s="57"/>
    </row>
    <row r="610" spans="1:12" x14ac:dyDescent="0.25">
      <c r="A610" s="57"/>
      <c r="B610" s="57"/>
      <c r="C610" s="57"/>
      <c r="D610" s="57"/>
      <c r="E610" s="57"/>
      <c r="F610" s="57"/>
      <c r="G610" s="57"/>
      <c r="H610" s="57"/>
      <c r="I610" s="57"/>
      <c r="J610" s="57"/>
      <c r="K610" s="57"/>
      <c r="L610" s="57"/>
    </row>
    <row r="611" spans="1:12" x14ac:dyDescent="0.25">
      <c r="A611" s="57"/>
      <c r="B611" s="57"/>
      <c r="C611" s="57"/>
      <c r="D611" s="57"/>
      <c r="E611" s="57"/>
      <c r="F611" s="57"/>
      <c r="G611" s="57"/>
      <c r="H611" s="57"/>
      <c r="I611" s="57"/>
      <c r="J611" s="57"/>
      <c r="K611" s="57"/>
      <c r="L611" s="57"/>
    </row>
    <row r="612" spans="1:12" x14ac:dyDescent="0.25">
      <c r="A612" s="57"/>
      <c r="B612" s="57"/>
      <c r="C612" s="57"/>
      <c r="D612" s="57"/>
      <c r="E612" s="57"/>
      <c r="F612" s="57"/>
      <c r="G612" s="57"/>
      <c r="H612" s="57"/>
      <c r="I612" s="57"/>
      <c r="J612" s="57"/>
      <c r="K612" s="57"/>
      <c r="L612" s="57"/>
    </row>
    <row r="613" spans="1:12" x14ac:dyDescent="0.25">
      <c r="A613" s="57"/>
      <c r="B613" s="57"/>
      <c r="C613" s="57"/>
      <c r="D613" s="57"/>
      <c r="E613" s="57"/>
      <c r="F613" s="57"/>
      <c r="G613" s="57"/>
      <c r="H613" s="57"/>
      <c r="I613" s="57"/>
      <c r="J613" s="57"/>
      <c r="K613" s="57"/>
      <c r="L613" s="57"/>
    </row>
    <row r="614" spans="1:12" x14ac:dyDescent="0.25">
      <c r="A614" s="57"/>
      <c r="B614" s="57"/>
      <c r="C614" s="57"/>
      <c r="D614" s="57"/>
      <c r="E614" s="57"/>
      <c r="F614" s="57"/>
      <c r="G614" s="57"/>
      <c r="H614" s="57"/>
      <c r="I614" s="57"/>
      <c r="J614" s="57"/>
      <c r="K614" s="57"/>
      <c r="L614" s="57"/>
    </row>
    <row r="615" spans="1:12" x14ac:dyDescent="0.25">
      <c r="A615" s="57"/>
      <c r="B615" s="57"/>
      <c r="C615" s="57"/>
      <c r="D615" s="57"/>
      <c r="E615" s="57"/>
      <c r="F615" s="57"/>
      <c r="G615" s="57"/>
      <c r="H615" s="57"/>
      <c r="I615" s="57"/>
      <c r="J615" s="57"/>
      <c r="K615" s="57"/>
      <c r="L615" s="57"/>
    </row>
    <row r="616" spans="1:12" x14ac:dyDescent="0.25">
      <c r="A616" s="57"/>
      <c r="B616" s="57"/>
      <c r="C616" s="57"/>
      <c r="D616" s="57"/>
      <c r="E616" s="57"/>
      <c r="F616" s="57"/>
      <c r="G616" s="57"/>
      <c r="H616" s="57"/>
      <c r="I616" s="57"/>
      <c r="J616" s="57"/>
      <c r="K616" s="57"/>
      <c r="L616" s="57"/>
    </row>
    <row r="617" spans="1:12" x14ac:dyDescent="0.25">
      <c r="A617" s="57"/>
      <c r="B617" s="57"/>
      <c r="C617" s="57"/>
      <c r="D617" s="57"/>
      <c r="E617" s="57"/>
      <c r="F617" s="57"/>
      <c r="G617" s="57"/>
      <c r="H617" s="57"/>
      <c r="I617" s="57"/>
      <c r="J617" s="57"/>
      <c r="K617" s="57"/>
      <c r="L617" s="57"/>
    </row>
    <row r="618" spans="1:12" x14ac:dyDescent="0.25">
      <c r="A618" s="57"/>
      <c r="B618" s="57"/>
      <c r="C618" s="57"/>
      <c r="D618" s="57"/>
      <c r="E618" s="57"/>
      <c r="F618" s="57"/>
      <c r="G618" s="57"/>
      <c r="H618" s="57"/>
      <c r="I618" s="57"/>
      <c r="J618" s="57"/>
      <c r="K618" s="57"/>
      <c r="L618" s="57"/>
    </row>
    <row r="619" spans="1:12" x14ac:dyDescent="0.25">
      <c r="A619" s="57"/>
      <c r="B619" s="57"/>
      <c r="C619" s="57"/>
      <c r="D619" s="57"/>
      <c r="E619" s="57"/>
      <c r="F619" s="57"/>
      <c r="G619" s="57"/>
      <c r="H619" s="57"/>
      <c r="I619" s="57"/>
      <c r="J619" s="57"/>
      <c r="K619" s="57"/>
      <c r="L619" s="57"/>
    </row>
    <row r="620" spans="1:12" x14ac:dyDescent="0.25">
      <c r="A620" s="57"/>
      <c r="B620" s="57"/>
      <c r="C620" s="57"/>
      <c r="D620" s="57"/>
      <c r="E620" s="57"/>
      <c r="F620" s="57"/>
      <c r="G620" s="57"/>
      <c r="H620" s="57"/>
      <c r="I620" s="57"/>
      <c r="J620" s="57"/>
      <c r="K620" s="57"/>
      <c r="L620" s="57"/>
    </row>
    <row r="621" spans="1:12" x14ac:dyDescent="0.25">
      <c r="A621" s="57"/>
      <c r="B621" s="57"/>
      <c r="C621" s="57"/>
      <c r="D621" s="57"/>
      <c r="E621" s="57"/>
      <c r="F621" s="57"/>
      <c r="G621" s="57"/>
      <c r="H621" s="57"/>
      <c r="I621" s="57"/>
      <c r="J621" s="57"/>
      <c r="K621" s="57"/>
      <c r="L621" s="57"/>
    </row>
    <row r="622" spans="1:12" x14ac:dyDescent="0.25">
      <c r="A622" s="57"/>
      <c r="B622" s="57"/>
      <c r="C622" s="57"/>
      <c r="D622" s="57"/>
      <c r="E622" s="57"/>
      <c r="F622" s="57"/>
      <c r="G622" s="57"/>
      <c r="H622" s="57"/>
      <c r="I622" s="57"/>
      <c r="J622" s="57"/>
      <c r="K622" s="57"/>
      <c r="L622" s="57"/>
    </row>
    <row r="623" spans="1:12" x14ac:dyDescent="0.25">
      <c r="A623" s="57"/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7"/>
    </row>
    <row r="624" spans="1:12" x14ac:dyDescent="0.25">
      <c r="A624" s="57"/>
      <c r="B624" s="57"/>
      <c r="C624" s="57"/>
      <c r="D624" s="57"/>
      <c r="E624" s="57"/>
      <c r="F624" s="57"/>
      <c r="G624" s="57"/>
      <c r="H624" s="57"/>
      <c r="I624" s="57"/>
      <c r="J624" s="57"/>
      <c r="K624" s="57"/>
      <c r="L624" s="57"/>
    </row>
    <row r="625" spans="1:12" x14ac:dyDescent="0.25">
      <c r="A625" s="57"/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7"/>
    </row>
    <row r="626" spans="1:12" x14ac:dyDescent="0.25">
      <c r="A626" s="57"/>
      <c r="B626" s="57"/>
      <c r="C626" s="57"/>
      <c r="D626" s="57"/>
      <c r="E626" s="57"/>
      <c r="F626" s="57"/>
      <c r="G626" s="57"/>
      <c r="H626" s="57"/>
      <c r="I626" s="57"/>
      <c r="J626" s="57"/>
      <c r="K626" s="57"/>
      <c r="L626" s="57"/>
    </row>
    <row r="627" spans="1:12" x14ac:dyDescent="0.25">
      <c r="A627" s="57"/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7"/>
    </row>
    <row r="628" spans="1:12" x14ac:dyDescent="0.25">
      <c r="A628" s="57"/>
      <c r="B628" s="57"/>
      <c r="C628" s="57"/>
      <c r="D628" s="57"/>
      <c r="E628" s="57"/>
      <c r="F628" s="57"/>
      <c r="G628" s="57"/>
      <c r="H628" s="57"/>
      <c r="I628" s="57"/>
      <c r="J628" s="57"/>
      <c r="K628" s="57"/>
      <c r="L628" s="57"/>
    </row>
    <row r="629" spans="1:12" x14ac:dyDescent="0.25">
      <c r="A629" s="57"/>
      <c r="B629" s="57"/>
      <c r="C629" s="57"/>
      <c r="D629" s="57"/>
      <c r="E629" s="57"/>
      <c r="F629" s="57"/>
      <c r="G629" s="57"/>
      <c r="H629" s="57"/>
      <c r="I629" s="57"/>
      <c r="J629" s="57"/>
      <c r="K629" s="57"/>
      <c r="L629" s="57"/>
    </row>
    <row r="630" spans="1:12" x14ac:dyDescent="0.25">
      <c r="A630" s="57"/>
      <c r="B630" s="57"/>
      <c r="C630" s="57"/>
      <c r="D630" s="57"/>
      <c r="E630" s="57"/>
      <c r="F630" s="57"/>
      <c r="G630" s="57"/>
      <c r="H630" s="57"/>
      <c r="I630" s="57"/>
      <c r="J630" s="57"/>
      <c r="K630" s="57"/>
      <c r="L630" s="57"/>
    </row>
    <row r="631" spans="1:12" x14ac:dyDescent="0.25">
      <c r="A631" s="57"/>
      <c r="B631" s="57"/>
      <c r="C631" s="57"/>
      <c r="D631" s="57"/>
      <c r="E631" s="57"/>
      <c r="F631" s="57"/>
      <c r="G631" s="57"/>
      <c r="H631" s="57"/>
      <c r="I631" s="57"/>
      <c r="J631" s="57"/>
      <c r="K631" s="57"/>
      <c r="L631" s="57"/>
    </row>
    <row r="632" spans="1:12" x14ac:dyDescent="0.25">
      <c r="A632" s="57"/>
      <c r="B632" s="57"/>
      <c r="C632" s="57"/>
      <c r="D632" s="57"/>
      <c r="E632" s="57"/>
      <c r="F632" s="57"/>
      <c r="G632" s="57"/>
      <c r="H632" s="57"/>
      <c r="I632" s="57"/>
      <c r="J632" s="57"/>
      <c r="K632" s="57"/>
      <c r="L632" s="57"/>
    </row>
    <row r="633" spans="1:12" x14ac:dyDescent="0.25">
      <c r="A633" s="57"/>
      <c r="B633" s="57"/>
      <c r="C633" s="57"/>
      <c r="D633" s="57"/>
      <c r="E633" s="57"/>
      <c r="F633" s="57"/>
      <c r="G633" s="57"/>
      <c r="H633" s="57"/>
      <c r="I633" s="57"/>
      <c r="J633" s="57"/>
      <c r="K633" s="57"/>
      <c r="L633" s="57"/>
    </row>
    <row r="634" spans="1:12" x14ac:dyDescent="0.25">
      <c r="A634" s="57"/>
      <c r="B634" s="57"/>
      <c r="C634" s="57"/>
      <c r="D634" s="57"/>
      <c r="E634" s="57"/>
      <c r="F634" s="57"/>
      <c r="G634" s="57"/>
      <c r="H634" s="57"/>
      <c r="I634" s="57"/>
      <c r="J634" s="57"/>
      <c r="K634" s="57"/>
      <c r="L634" s="57"/>
    </row>
    <row r="635" spans="1:12" x14ac:dyDescent="0.25">
      <c r="A635" s="57"/>
      <c r="B635" s="57"/>
      <c r="C635" s="57"/>
      <c r="D635" s="57"/>
      <c r="E635" s="57"/>
      <c r="F635" s="57"/>
      <c r="G635" s="57"/>
      <c r="H635" s="57"/>
      <c r="I635" s="57"/>
      <c r="J635" s="57"/>
      <c r="K635" s="57"/>
      <c r="L635" s="57"/>
    </row>
    <row r="636" spans="1:12" x14ac:dyDescent="0.25">
      <c r="A636" s="57"/>
      <c r="B636" s="57"/>
      <c r="C636" s="57"/>
      <c r="D636" s="57"/>
      <c r="E636" s="57"/>
      <c r="F636" s="57"/>
      <c r="G636" s="57"/>
      <c r="H636" s="57"/>
      <c r="I636" s="57"/>
      <c r="J636" s="57"/>
      <c r="K636" s="57"/>
      <c r="L636" s="57"/>
    </row>
    <row r="637" spans="1:12" x14ac:dyDescent="0.25">
      <c r="A637" s="57"/>
      <c r="B637" s="57"/>
      <c r="C637" s="57"/>
      <c r="D637" s="57"/>
      <c r="E637" s="57"/>
      <c r="F637" s="57"/>
      <c r="G637" s="57"/>
      <c r="H637" s="57"/>
      <c r="I637" s="57"/>
      <c r="J637" s="57"/>
      <c r="K637" s="57"/>
      <c r="L637" s="57"/>
    </row>
    <row r="638" spans="1:12" x14ac:dyDescent="0.25">
      <c r="A638" s="57"/>
      <c r="B638" s="57"/>
      <c r="C638" s="57"/>
      <c r="D638" s="57"/>
      <c r="E638" s="57"/>
      <c r="F638" s="57"/>
      <c r="G638" s="57"/>
      <c r="H638" s="57"/>
      <c r="I638" s="57"/>
      <c r="J638" s="57"/>
      <c r="K638" s="57"/>
      <c r="L638" s="57"/>
    </row>
    <row r="639" spans="1:12" x14ac:dyDescent="0.25">
      <c r="A639" s="57"/>
      <c r="B639" s="57"/>
      <c r="C639" s="57"/>
      <c r="D639" s="57"/>
      <c r="E639" s="57"/>
      <c r="F639" s="57"/>
      <c r="G639" s="57"/>
      <c r="H639" s="57"/>
      <c r="I639" s="57"/>
      <c r="J639" s="57"/>
      <c r="K639" s="57"/>
      <c r="L639" s="57"/>
    </row>
    <row r="640" spans="1:12" x14ac:dyDescent="0.25">
      <c r="A640" s="57"/>
      <c r="B640" s="57"/>
      <c r="C640" s="57"/>
      <c r="D640" s="57"/>
      <c r="E640" s="57"/>
      <c r="F640" s="57"/>
      <c r="G640" s="57"/>
      <c r="H640" s="57"/>
      <c r="I640" s="57"/>
      <c r="J640" s="57"/>
      <c r="K640" s="57"/>
      <c r="L640" s="57"/>
    </row>
    <row r="641" spans="1:12" x14ac:dyDescent="0.25">
      <c r="A641" s="57"/>
      <c r="B641" s="57"/>
      <c r="C641" s="57"/>
      <c r="D641" s="57"/>
      <c r="E641" s="57"/>
      <c r="F641" s="57"/>
      <c r="G641" s="57"/>
      <c r="H641" s="57"/>
      <c r="I641" s="57"/>
      <c r="J641" s="57"/>
      <c r="K641" s="57"/>
      <c r="L641" s="57"/>
    </row>
    <row r="642" spans="1:12" x14ac:dyDescent="0.25">
      <c r="A642" s="57"/>
      <c r="B642" s="57"/>
      <c r="C642" s="57"/>
      <c r="D642" s="57"/>
      <c r="E642" s="57"/>
      <c r="F642" s="57"/>
      <c r="G642" s="57"/>
      <c r="H642" s="57"/>
      <c r="I642" s="57"/>
      <c r="J642" s="57"/>
      <c r="K642" s="57"/>
      <c r="L642" s="57"/>
    </row>
    <row r="643" spans="1:12" x14ac:dyDescent="0.25">
      <c r="A643" s="57"/>
      <c r="B643" s="57"/>
      <c r="C643" s="57"/>
      <c r="D643" s="57"/>
      <c r="E643" s="57"/>
      <c r="F643" s="57"/>
      <c r="G643" s="57"/>
      <c r="H643" s="57"/>
      <c r="I643" s="57"/>
      <c r="J643" s="57"/>
      <c r="K643" s="57"/>
      <c r="L643" s="57"/>
    </row>
    <row r="644" spans="1:12" x14ac:dyDescent="0.25">
      <c r="A644" s="57"/>
      <c r="B644" s="57"/>
      <c r="C644" s="57"/>
      <c r="D644" s="57"/>
      <c r="E644" s="57"/>
      <c r="F644" s="57"/>
      <c r="G644" s="57"/>
      <c r="H644" s="57"/>
      <c r="I644" s="57"/>
      <c r="J644" s="57"/>
      <c r="K644" s="57"/>
      <c r="L644" s="57"/>
    </row>
    <row r="645" spans="1:12" x14ac:dyDescent="0.25">
      <c r="A645" s="57"/>
      <c r="B645" s="57"/>
      <c r="C645" s="57"/>
      <c r="D645" s="57"/>
      <c r="E645" s="57"/>
      <c r="F645" s="57"/>
      <c r="G645" s="57"/>
      <c r="H645" s="57"/>
      <c r="I645" s="57"/>
      <c r="J645" s="57"/>
      <c r="K645" s="57"/>
      <c r="L645" s="57"/>
    </row>
    <row r="646" spans="1:12" x14ac:dyDescent="0.25">
      <c r="A646" s="57"/>
      <c r="B646" s="57"/>
      <c r="C646" s="57"/>
      <c r="D646" s="57"/>
      <c r="E646" s="57"/>
      <c r="F646" s="57"/>
      <c r="G646" s="57"/>
      <c r="H646" s="57"/>
      <c r="I646" s="57"/>
      <c r="J646" s="57"/>
      <c r="K646" s="57"/>
      <c r="L646" s="57"/>
    </row>
    <row r="647" spans="1:12" x14ac:dyDescent="0.25">
      <c r="A647" s="57"/>
      <c r="B647" s="57"/>
      <c r="C647" s="57"/>
      <c r="D647" s="57"/>
      <c r="E647" s="57"/>
      <c r="F647" s="57"/>
      <c r="G647" s="57"/>
      <c r="H647" s="57"/>
      <c r="I647" s="57"/>
      <c r="J647" s="57"/>
      <c r="K647" s="57"/>
      <c r="L647" s="57"/>
    </row>
    <row r="648" spans="1:12" x14ac:dyDescent="0.25">
      <c r="A648" s="57"/>
      <c r="B648" s="57"/>
      <c r="C648" s="57"/>
      <c r="D648" s="57"/>
      <c r="E648" s="57"/>
      <c r="F648" s="57"/>
      <c r="G648" s="57"/>
      <c r="H648" s="57"/>
      <c r="I648" s="57"/>
      <c r="J648" s="57"/>
      <c r="K648" s="57"/>
      <c r="L648" s="57"/>
    </row>
    <row r="649" spans="1:12" x14ac:dyDescent="0.25">
      <c r="A649" s="57"/>
      <c r="B649" s="57"/>
      <c r="C649" s="57"/>
      <c r="D649" s="57"/>
      <c r="E649" s="57"/>
      <c r="F649" s="57"/>
      <c r="G649" s="57"/>
      <c r="H649" s="57"/>
      <c r="I649" s="57"/>
      <c r="J649" s="57"/>
      <c r="K649" s="57"/>
      <c r="L649" s="57"/>
    </row>
    <row r="650" spans="1:12" x14ac:dyDescent="0.25">
      <c r="A650" s="57"/>
      <c r="B650" s="57"/>
      <c r="C650" s="57"/>
      <c r="D650" s="57"/>
      <c r="E650" s="57"/>
      <c r="F650" s="57"/>
      <c r="G650" s="57"/>
      <c r="H650" s="57"/>
      <c r="I650" s="57"/>
      <c r="J650" s="57"/>
      <c r="K650" s="57"/>
      <c r="L650" s="57"/>
    </row>
    <row r="651" spans="1:12" x14ac:dyDescent="0.25">
      <c r="A651" s="57"/>
      <c r="B651" s="57"/>
      <c r="C651" s="57"/>
      <c r="D651" s="57"/>
      <c r="E651" s="57"/>
      <c r="F651" s="57"/>
      <c r="G651" s="57"/>
      <c r="H651" s="57"/>
      <c r="I651" s="57"/>
      <c r="J651" s="57"/>
      <c r="K651" s="57"/>
      <c r="L651" s="57"/>
    </row>
    <row r="652" spans="1:12" x14ac:dyDescent="0.25">
      <c r="A652" s="57"/>
      <c r="B652" s="57"/>
      <c r="C652" s="57"/>
      <c r="D652" s="57"/>
      <c r="E652" s="57"/>
      <c r="F652" s="57"/>
      <c r="G652" s="57"/>
      <c r="H652" s="57"/>
      <c r="I652" s="57"/>
      <c r="J652" s="57"/>
      <c r="K652" s="57"/>
      <c r="L652" s="57"/>
    </row>
    <row r="653" spans="1:12" x14ac:dyDescent="0.25">
      <c r="A653" s="57"/>
      <c r="B653" s="57"/>
      <c r="C653" s="57"/>
      <c r="D653" s="57"/>
      <c r="E653" s="57"/>
      <c r="F653" s="57"/>
      <c r="G653" s="57"/>
      <c r="H653" s="57"/>
      <c r="I653" s="57"/>
      <c r="J653" s="57"/>
      <c r="K653" s="57"/>
      <c r="L653" s="57"/>
    </row>
    <row r="654" spans="1:12" x14ac:dyDescent="0.25">
      <c r="A654" s="57"/>
      <c r="B654" s="57"/>
      <c r="C654" s="57"/>
      <c r="D654" s="57"/>
      <c r="E654" s="57"/>
      <c r="F654" s="57"/>
      <c r="G654" s="57"/>
      <c r="H654" s="57"/>
      <c r="I654" s="57"/>
      <c r="J654" s="57"/>
      <c r="K654" s="57"/>
      <c r="L654" s="57"/>
    </row>
    <row r="655" spans="1:12" x14ac:dyDescent="0.25">
      <c r="A655" s="57"/>
      <c r="B655" s="57"/>
      <c r="C655" s="57"/>
      <c r="D655" s="57"/>
      <c r="E655" s="57"/>
      <c r="F655" s="57"/>
      <c r="G655" s="57"/>
      <c r="H655" s="57"/>
      <c r="I655" s="57"/>
      <c r="J655" s="57"/>
      <c r="K655" s="57"/>
      <c r="L655" s="57"/>
    </row>
    <row r="656" spans="1:12" x14ac:dyDescent="0.25">
      <c r="A656" s="57"/>
      <c r="B656" s="57"/>
      <c r="C656" s="57"/>
      <c r="D656" s="57"/>
      <c r="E656" s="57"/>
      <c r="F656" s="57"/>
      <c r="G656" s="57"/>
      <c r="H656" s="57"/>
      <c r="I656" s="57"/>
      <c r="J656" s="57"/>
      <c r="K656" s="57"/>
      <c r="L656" s="57"/>
    </row>
    <row r="657" spans="1:12" x14ac:dyDescent="0.25">
      <c r="A657" s="57"/>
      <c r="B657" s="57"/>
      <c r="C657" s="57"/>
      <c r="D657" s="57"/>
      <c r="E657" s="57"/>
      <c r="F657" s="57"/>
      <c r="G657" s="57"/>
      <c r="H657" s="57"/>
      <c r="I657" s="57"/>
      <c r="J657" s="57"/>
      <c r="K657" s="57"/>
      <c r="L657" s="57"/>
    </row>
    <row r="658" spans="1:12" x14ac:dyDescent="0.25">
      <c r="A658" s="57"/>
      <c r="B658" s="57"/>
      <c r="C658" s="57"/>
      <c r="D658" s="57"/>
      <c r="E658" s="57"/>
      <c r="F658" s="57"/>
      <c r="G658" s="57"/>
      <c r="H658" s="57"/>
      <c r="I658" s="57"/>
      <c r="J658" s="57"/>
      <c r="K658" s="57"/>
      <c r="L658" s="57"/>
    </row>
    <row r="659" spans="1:12" x14ac:dyDescent="0.25">
      <c r="A659" s="57"/>
      <c r="B659" s="57"/>
      <c r="C659" s="57"/>
      <c r="D659" s="57"/>
      <c r="E659" s="57"/>
      <c r="F659" s="57"/>
      <c r="G659" s="57"/>
      <c r="H659" s="57"/>
      <c r="I659" s="57"/>
      <c r="J659" s="57"/>
      <c r="K659" s="57"/>
      <c r="L659" s="57"/>
    </row>
    <row r="660" spans="1:12" x14ac:dyDescent="0.25">
      <c r="A660" s="57"/>
      <c r="B660" s="57"/>
      <c r="C660" s="57"/>
      <c r="D660" s="57"/>
      <c r="E660" s="57"/>
      <c r="F660" s="57"/>
      <c r="G660" s="57"/>
      <c r="H660" s="57"/>
      <c r="I660" s="57"/>
      <c r="J660" s="57"/>
      <c r="K660" s="57"/>
      <c r="L660" s="57"/>
    </row>
    <row r="661" spans="1:12" x14ac:dyDescent="0.25">
      <c r="A661" s="57"/>
      <c r="B661" s="57"/>
      <c r="C661" s="57"/>
      <c r="D661" s="57"/>
      <c r="E661" s="57"/>
      <c r="F661" s="57"/>
      <c r="G661" s="57"/>
      <c r="H661" s="57"/>
      <c r="I661" s="57"/>
      <c r="J661" s="57"/>
      <c r="K661" s="57"/>
      <c r="L661" s="57"/>
    </row>
    <row r="662" spans="1:12" x14ac:dyDescent="0.25">
      <c r="A662" s="57"/>
      <c r="B662" s="57"/>
      <c r="C662" s="57"/>
      <c r="D662" s="57"/>
      <c r="E662" s="57"/>
      <c r="F662" s="57"/>
      <c r="G662" s="57"/>
      <c r="H662" s="57"/>
      <c r="I662" s="57"/>
      <c r="J662" s="57"/>
      <c r="K662" s="57"/>
      <c r="L662" s="57"/>
    </row>
    <row r="663" spans="1:12" x14ac:dyDescent="0.25">
      <c r="A663" s="57"/>
      <c r="B663" s="57"/>
      <c r="C663" s="57"/>
      <c r="D663" s="57"/>
      <c r="E663" s="57"/>
      <c r="F663" s="57"/>
      <c r="G663" s="57"/>
      <c r="H663" s="57"/>
      <c r="I663" s="57"/>
      <c r="J663" s="57"/>
      <c r="K663" s="57"/>
      <c r="L663" s="57"/>
    </row>
    <row r="664" spans="1:12" x14ac:dyDescent="0.25">
      <c r="A664" s="57"/>
      <c r="B664" s="57"/>
      <c r="C664" s="57"/>
      <c r="D664" s="57"/>
      <c r="E664" s="57"/>
      <c r="F664" s="57"/>
      <c r="G664" s="57"/>
      <c r="H664" s="57"/>
      <c r="I664" s="57"/>
      <c r="J664" s="57"/>
      <c r="K664" s="57"/>
      <c r="L664" s="57"/>
    </row>
    <row r="665" spans="1:12" x14ac:dyDescent="0.25">
      <c r="A665" s="57"/>
      <c r="B665" s="57"/>
      <c r="C665" s="57"/>
      <c r="D665" s="57"/>
      <c r="E665" s="57"/>
      <c r="F665" s="57"/>
      <c r="G665" s="57"/>
      <c r="H665" s="57"/>
      <c r="I665" s="57"/>
      <c r="J665" s="57"/>
      <c r="K665" s="57"/>
      <c r="L665" s="57"/>
    </row>
    <row r="666" spans="1:12" x14ac:dyDescent="0.25">
      <c r="A666" s="57"/>
      <c r="B666" s="57"/>
      <c r="C666" s="57"/>
      <c r="D666" s="57"/>
      <c r="E666" s="57"/>
      <c r="F666" s="57"/>
      <c r="G666" s="57"/>
      <c r="H666" s="57"/>
      <c r="I666" s="57"/>
      <c r="J666" s="57"/>
      <c r="K666" s="57"/>
      <c r="L666" s="57"/>
    </row>
    <row r="667" spans="1:12" x14ac:dyDescent="0.25">
      <c r="A667" s="57"/>
      <c r="B667" s="57"/>
      <c r="C667" s="57"/>
      <c r="D667" s="57"/>
      <c r="E667" s="57"/>
      <c r="F667" s="57"/>
      <c r="G667" s="57"/>
      <c r="H667" s="57"/>
      <c r="I667" s="57"/>
      <c r="J667" s="57"/>
      <c r="K667" s="57"/>
      <c r="L667" s="57"/>
    </row>
    <row r="668" spans="1:12" x14ac:dyDescent="0.25">
      <c r="A668" s="57"/>
      <c r="B668" s="57"/>
      <c r="C668" s="57"/>
      <c r="D668" s="57"/>
      <c r="E668" s="57"/>
      <c r="F668" s="57"/>
      <c r="G668" s="57"/>
      <c r="H668" s="57"/>
      <c r="I668" s="57"/>
      <c r="J668" s="57"/>
      <c r="K668" s="57"/>
      <c r="L668" s="57"/>
    </row>
    <row r="669" spans="1:12" x14ac:dyDescent="0.25">
      <c r="A669" s="57"/>
      <c r="B669" s="57"/>
      <c r="C669" s="57"/>
      <c r="D669" s="57"/>
      <c r="E669" s="57"/>
      <c r="F669" s="57"/>
      <c r="G669" s="57"/>
      <c r="H669" s="57"/>
      <c r="I669" s="57"/>
      <c r="J669" s="57"/>
      <c r="K669" s="57"/>
      <c r="L669" s="57"/>
    </row>
    <row r="670" spans="1:12" x14ac:dyDescent="0.25">
      <c r="A670" s="57"/>
      <c r="B670" s="57"/>
      <c r="C670" s="57"/>
      <c r="D670" s="57"/>
      <c r="E670" s="57"/>
      <c r="F670" s="57"/>
      <c r="G670" s="57"/>
      <c r="H670" s="57"/>
      <c r="I670" s="57"/>
      <c r="J670" s="57"/>
      <c r="K670" s="57"/>
      <c r="L670" s="57"/>
    </row>
    <row r="671" spans="1:12" x14ac:dyDescent="0.25">
      <c r="A671" s="57"/>
      <c r="B671" s="57"/>
      <c r="C671" s="57"/>
      <c r="D671" s="57"/>
      <c r="E671" s="57"/>
      <c r="F671" s="57"/>
      <c r="G671" s="57"/>
      <c r="H671" s="57"/>
      <c r="I671" s="57"/>
      <c r="J671" s="57"/>
      <c r="K671" s="57"/>
      <c r="L671" s="57"/>
    </row>
    <row r="672" spans="1:12" x14ac:dyDescent="0.25">
      <c r="A672" s="57"/>
      <c r="B672" s="57"/>
      <c r="C672" s="57"/>
      <c r="D672" s="57"/>
      <c r="E672" s="57"/>
      <c r="F672" s="57"/>
      <c r="G672" s="57"/>
      <c r="H672" s="57"/>
      <c r="I672" s="57"/>
      <c r="J672" s="57"/>
      <c r="K672" s="57"/>
      <c r="L672" s="57"/>
    </row>
    <row r="673" spans="1:12" x14ac:dyDescent="0.25">
      <c r="A673" s="57"/>
      <c r="B673" s="57"/>
      <c r="C673" s="57"/>
      <c r="D673" s="57"/>
      <c r="E673" s="57"/>
      <c r="F673" s="57"/>
      <c r="G673" s="57"/>
      <c r="H673" s="57"/>
      <c r="I673" s="57"/>
      <c r="J673" s="57"/>
      <c r="K673" s="57"/>
      <c r="L673" s="57"/>
    </row>
    <row r="674" spans="1:12" x14ac:dyDescent="0.25">
      <c r="A674" s="57"/>
      <c r="B674" s="57"/>
      <c r="C674" s="57"/>
      <c r="D674" s="57"/>
      <c r="E674" s="57"/>
      <c r="F674" s="57"/>
      <c r="G674" s="57"/>
      <c r="H674" s="57"/>
      <c r="I674" s="57"/>
      <c r="J674" s="57"/>
      <c r="K674" s="57"/>
      <c r="L674" s="57"/>
    </row>
    <row r="675" spans="1:12" x14ac:dyDescent="0.25">
      <c r="A675" s="57"/>
      <c r="B675" s="57"/>
      <c r="C675" s="57"/>
      <c r="D675" s="57"/>
      <c r="E675" s="57"/>
      <c r="F675" s="57"/>
      <c r="G675" s="57"/>
      <c r="H675" s="57"/>
      <c r="I675" s="57"/>
      <c r="J675" s="57"/>
      <c r="K675" s="57"/>
      <c r="L675" s="57"/>
    </row>
    <row r="676" spans="1:12" x14ac:dyDescent="0.25">
      <c r="A676" s="57"/>
      <c r="B676" s="57"/>
      <c r="C676" s="57"/>
      <c r="D676" s="57"/>
      <c r="E676" s="57"/>
      <c r="F676" s="57"/>
      <c r="G676" s="57"/>
      <c r="H676" s="57"/>
      <c r="I676" s="57"/>
      <c r="J676" s="57"/>
      <c r="K676" s="57"/>
      <c r="L676" s="57"/>
    </row>
    <row r="677" spans="1:12" x14ac:dyDescent="0.25">
      <c r="A677" s="57"/>
      <c r="B677" s="57"/>
      <c r="C677" s="57"/>
      <c r="D677" s="57"/>
      <c r="E677" s="57"/>
      <c r="F677" s="57"/>
      <c r="G677" s="57"/>
      <c r="H677" s="57"/>
      <c r="I677" s="57"/>
      <c r="J677" s="57"/>
      <c r="K677" s="57"/>
      <c r="L677" s="57"/>
    </row>
    <row r="678" spans="1:12" x14ac:dyDescent="0.25">
      <c r="A678" s="57"/>
      <c r="B678" s="57"/>
      <c r="C678" s="57"/>
      <c r="D678" s="57"/>
      <c r="E678" s="57"/>
      <c r="F678" s="57"/>
      <c r="G678" s="57"/>
      <c r="H678" s="57"/>
      <c r="I678" s="57"/>
      <c r="J678" s="57"/>
      <c r="K678" s="57"/>
      <c r="L678" s="57"/>
    </row>
    <row r="679" spans="1:12" x14ac:dyDescent="0.25">
      <c r="A679" s="57"/>
      <c r="B679" s="57"/>
      <c r="C679" s="57"/>
      <c r="D679" s="57"/>
      <c r="E679" s="57"/>
      <c r="F679" s="57"/>
      <c r="G679" s="57"/>
      <c r="H679" s="57"/>
      <c r="I679" s="57"/>
      <c r="J679" s="57"/>
      <c r="K679" s="57"/>
      <c r="L679" s="57"/>
    </row>
    <row r="680" spans="1:12" x14ac:dyDescent="0.25">
      <c r="A680" s="57"/>
      <c r="B680" s="57"/>
      <c r="C680" s="57"/>
      <c r="D680" s="57"/>
      <c r="E680" s="57"/>
      <c r="F680" s="57"/>
      <c r="G680" s="57"/>
      <c r="H680" s="57"/>
      <c r="I680" s="57"/>
      <c r="J680" s="57"/>
      <c r="K680" s="57"/>
      <c r="L680" s="57"/>
    </row>
    <row r="681" spans="1:12" x14ac:dyDescent="0.25">
      <c r="A681" s="57"/>
      <c r="B681" s="57"/>
      <c r="C681" s="57"/>
      <c r="D681" s="57"/>
      <c r="E681" s="57"/>
      <c r="F681" s="57"/>
      <c r="G681" s="57"/>
      <c r="H681" s="57"/>
      <c r="I681" s="57"/>
      <c r="J681" s="57"/>
      <c r="K681" s="57"/>
      <c r="L681" s="57"/>
    </row>
    <row r="682" spans="1:12" x14ac:dyDescent="0.25">
      <c r="A682" s="57"/>
      <c r="B682" s="57"/>
      <c r="C682" s="57"/>
      <c r="D682" s="57"/>
      <c r="E682" s="57"/>
      <c r="F682" s="57"/>
      <c r="G682" s="57"/>
      <c r="H682" s="57"/>
      <c r="I682" s="57"/>
      <c r="J682" s="57"/>
      <c r="K682" s="57"/>
      <c r="L682" s="57"/>
    </row>
    <row r="683" spans="1:12" x14ac:dyDescent="0.25">
      <c r="A683" s="57"/>
      <c r="B683" s="57"/>
      <c r="C683" s="57"/>
      <c r="D683" s="57"/>
      <c r="E683" s="57"/>
      <c r="F683" s="57"/>
      <c r="G683" s="57"/>
      <c r="H683" s="57"/>
      <c r="I683" s="57"/>
      <c r="J683" s="57"/>
      <c r="K683" s="57"/>
      <c r="L683" s="57"/>
    </row>
    <row r="684" spans="1:12" x14ac:dyDescent="0.25">
      <c r="A684" s="57"/>
      <c r="B684" s="57"/>
      <c r="C684" s="57"/>
      <c r="D684" s="57"/>
      <c r="E684" s="57"/>
      <c r="F684" s="57"/>
      <c r="G684" s="57"/>
      <c r="H684" s="57"/>
      <c r="I684" s="57"/>
      <c r="J684" s="57"/>
      <c r="K684" s="57"/>
      <c r="L684" s="57"/>
    </row>
    <row r="685" spans="1:12" x14ac:dyDescent="0.25">
      <c r="A685" s="57"/>
      <c r="B685" s="57"/>
      <c r="C685" s="57"/>
      <c r="D685" s="57"/>
      <c r="E685" s="57"/>
      <c r="F685" s="57"/>
      <c r="G685" s="57"/>
      <c r="H685" s="57"/>
      <c r="I685" s="57"/>
      <c r="J685" s="57"/>
      <c r="K685" s="57"/>
      <c r="L685" s="57"/>
    </row>
    <row r="686" spans="1:12" x14ac:dyDescent="0.25">
      <c r="A686" s="57"/>
      <c r="B686" s="57"/>
      <c r="C686" s="57"/>
      <c r="D686" s="57"/>
      <c r="E686" s="57"/>
      <c r="F686" s="57"/>
      <c r="G686" s="57"/>
      <c r="H686" s="57"/>
      <c r="I686" s="57"/>
      <c r="J686" s="57"/>
      <c r="K686" s="57"/>
      <c r="L686" s="57"/>
    </row>
    <row r="687" spans="1:12" x14ac:dyDescent="0.25">
      <c r="A687" s="57"/>
      <c r="B687" s="57"/>
      <c r="C687" s="57"/>
      <c r="D687" s="57"/>
      <c r="E687" s="57"/>
      <c r="F687" s="57"/>
      <c r="G687" s="57"/>
      <c r="H687" s="57"/>
      <c r="I687" s="57"/>
      <c r="J687" s="57"/>
      <c r="K687" s="57"/>
      <c r="L687" s="57"/>
    </row>
    <row r="688" spans="1:12" x14ac:dyDescent="0.25">
      <c r="A688" s="57"/>
      <c r="B688" s="57"/>
      <c r="C688" s="57"/>
      <c r="D688" s="57"/>
      <c r="E688" s="57"/>
      <c r="F688" s="57"/>
      <c r="G688" s="57"/>
      <c r="H688" s="57"/>
      <c r="I688" s="57"/>
      <c r="J688" s="57"/>
      <c r="K688" s="57"/>
      <c r="L688" s="57"/>
    </row>
    <row r="689" spans="1:12" x14ac:dyDescent="0.25">
      <c r="A689" s="57"/>
      <c r="B689" s="57"/>
      <c r="C689" s="57"/>
      <c r="D689" s="57"/>
      <c r="E689" s="57"/>
      <c r="F689" s="57"/>
      <c r="G689" s="57"/>
      <c r="H689" s="57"/>
      <c r="I689" s="57"/>
      <c r="J689" s="57"/>
      <c r="K689" s="57"/>
      <c r="L689" s="57"/>
    </row>
    <row r="690" spans="1:12" x14ac:dyDescent="0.25">
      <c r="A690" s="57"/>
      <c r="B690" s="57"/>
      <c r="C690" s="57"/>
      <c r="D690" s="57"/>
      <c r="E690" s="57"/>
      <c r="F690" s="57"/>
      <c r="G690" s="57"/>
      <c r="H690" s="57"/>
      <c r="I690" s="57"/>
      <c r="J690" s="57"/>
      <c r="K690" s="57"/>
      <c r="L690" s="57"/>
    </row>
    <row r="691" spans="1:12" x14ac:dyDescent="0.25">
      <c r="A691" s="57"/>
      <c r="B691" s="57"/>
      <c r="C691" s="57"/>
      <c r="D691" s="57"/>
      <c r="E691" s="57"/>
      <c r="F691" s="57"/>
      <c r="G691" s="57"/>
      <c r="H691" s="57"/>
      <c r="I691" s="57"/>
      <c r="J691" s="57"/>
      <c r="K691" s="57"/>
      <c r="L691" s="57"/>
    </row>
    <row r="692" spans="1:12" x14ac:dyDescent="0.25">
      <c r="A692" s="57"/>
      <c r="B692" s="57"/>
      <c r="C692" s="57"/>
      <c r="D692" s="57"/>
      <c r="E692" s="57"/>
      <c r="F692" s="57"/>
      <c r="G692" s="57"/>
      <c r="H692" s="57"/>
      <c r="I692" s="57"/>
      <c r="J692" s="57"/>
      <c r="K692" s="57"/>
      <c r="L692" s="57"/>
    </row>
    <row r="693" spans="1:12" x14ac:dyDescent="0.25">
      <c r="A693" s="57"/>
      <c r="B693" s="57"/>
      <c r="C693" s="57"/>
      <c r="D693" s="57"/>
      <c r="E693" s="57"/>
      <c r="F693" s="57"/>
      <c r="G693" s="57"/>
      <c r="H693" s="57"/>
      <c r="I693" s="57"/>
      <c r="J693" s="57"/>
      <c r="K693" s="57"/>
      <c r="L693" s="57"/>
    </row>
    <row r="694" spans="1:12" x14ac:dyDescent="0.25">
      <c r="A694" s="57"/>
      <c r="B694" s="57"/>
      <c r="C694" s="57"/>
      <c r="D694" s="57"/>
      <c r="E694" s="57"/>
      <c r="F694" s="57"/>
      <c r="G694" s="57"/>
      <c r="H694" s="57"/>
      <c r="I694" s="57"/>
      <c r="J694" s="57"/>
      <c r="K694" s="57"/>
      <c r="L694" s="57"/>
    </row>
    <row r="695" spans="1:12" x14ac:dyDescent="0.25">
      <c r="A695" s="57"/>
      <c r="B695" s="57"/>
      <c r="C695" s="57"/>
      <c r="D695" s="57"/>
      <c r="E695" s="57"/>
      <c r="F695" s="57"/>
      <c r="G695" s="57"/>
      <c r="H695" s="57"/>
      <c r="I695" s="57"/>
      <c r="J695" s="57"/>
      <c r="K695" s="57"/>
      <c r="L695" s="57"/>
    </row>
    <row r="696" spans="1:12" x14ac:dyDescent="0.25">
      <c r="A696" s="57"/>
      <c r="B696" s="57"/>
      <c r="C696" s="57"/>
      <c r="D696" s="57"/>
      <c r="E696" s="57"/>
      <c r="F696" s="57"/>
      <c r="G696" s="57"/>
      <c r="H696" s="57"/>
      <c r="I696" s="57"/>
      <c r="J696" s="57"/>
      <c r="K696" s="57"/>
      <c r="L696" s="57"/>
    </row>
    <row r="697" spans="1:12" x14ac:dyDescent="0.25">
      <c r="A697" s="57"/>
      <c r="B697" s="57"/>
      <c r="C697" s="57"/>
      <c r="D697" s="57"/>
      <c r="E697" s="57"/>
      <c r="F697" s="57"/>
      <c r="G697" s="57"/>
      <c r="H697" s="57"/>
      <c r="I697" s="57"/>
      <c r="J697" s="57"/>
      <c r="K697" s="57"/>
      <c r="L697" s="57"/>
    </row>
    <row r="698" spans="1:12" x14ac:dyDescent="0.25">
      <c r="A698" s="57"/>
      <c r="B698" s="57"/>
      <c r="C698" s="57"/>
      <c r="D698" s="57"/>
      <c r="E698" s="57"/>
      <c r="F698" s="57"/>
      <c r="G698" s="57"/>
      <c r="H698" s="57"/>
      <c r="I698" s="57"/>
      <c r="J698" s="57"/>
      <c r="K698" s="57"/>
      <c r="L698" s="57"/>
    </row>
    <row r="699" spans="1:12" x14ac:dyDescent="0.25">
      <c r="A699" s="57"/>
      <c r="B699" s="57"/>
      <c r="C699" s="57"/>
      <c r="D699" s="57"/>
      <c r="E699" s="57"/>
      <c r="F699" s="57"/>
      <c r="G699" s="57"/>
      <c r="H699" s="57"/>
      <c r="I699" s="57"/>
      <c r="J699" s="57"/>
      <c r="K699" s="57"/>
      <c r="L699" s="57"/>
    </row>
    <row r="700" spans="1:12" x14ac:dyDescent="0.25">
      <c r="A700" s="57"/>
      <c r="B700" s="57"/>
      <c r="C700" s="57"/>
      <c r="D700" s="57"/>
      <c r="E700" s="57"/>
      <c r="F700" s="57"/>
      <c r="G700" s="57"/>
      <c r="H700" s="57"/>
      <c r="I700" s="57"/>
      <c r="J700" s="57"/>
      <c r="K700" s="57"/>
      <c r="L700" s="57"/>
    </row>
    <row r="701" spans="1:12" x14ac:dyDescent="0.25">
      <c r="A701" s="57"/>
      <c r="B701" s="57"/>
      <c r="C701" s="57"/>
      <c r="D701" s="57"/>
      <c r="E701" s="57"/>
      <c r="F701" s="57"/>
      <c r="G701" s="57"/>
      <c r="H701" s="57"/>
      <c r="I701" s="57"/>
      <c r="J701" s="57"/>
      <c r="K701" s="57"/>
      <c r="L701" s="57"/>
    </row>
    <row r="702" spans="1:12" x14ac:dyDescent="0.25">
      <c r="A702" s="57"/>
      <c r="B702" s="57"/>
      <c r="C702" s="57"/>
      <c r="D702" s="57"/>
      <c r="E702" s="57"/>
      <c r="F702" s="57"/>
      <c r="G702" s="57"/>
      <c r="H702" s="57"/>
      <c r="I702" s="57"/>
      <c r="J702" s="57"/>
      <c r="K702" s="57"/>
      <c r="L702" s="57"/>
    </row>
    <row r="703" spans="1:12" x14ac:dyDescent="0.25">
      <c r="A703" s="57"/>
      <c r="B703" s="57"/>
      <c r="C703" s="57"/>
      <c r="D703" s="57"/>
      <c r="E703" s="57"/>
      <c r="F703" s="57"/>
      <c r="G703" s="57"/>
      <c r="H703" s="57"/>
      <c r="I703" s="57"/>
      <c r="J703" s="57"/>
      <c r="K703" s="57"/>
      <c r="L703" s="57"/>
    </row>
    <row r="704" spans="1:12" x14ac:dyDescent="0.25">
      <c r="A704" s="57"/>
      <c r="B704" s="57"/>
      <c r="C704" s="57"/>
      <c r="D704" s="57"/>
      <c r="E704" s="57"/>
      <c r="F704" s="57"/>
      <c r="G704" s="57"/>
      <c r="H704" s="57"/>
      <c r="I704" s="57"/>
      <c r="J704" s="57"/>
      <c r="K704" s="57"/>
      <c r="L704" s="57"/>
    </row>
    <row r="705" spans="1:12" x14ac:dyDescent="0.25">
      <c r="A705" s="57"/>
      <c r="B705" s="57"/>
      <c r="C705" s="57"/>
      <c r="D705" s="57"/>
      <c r="E705" s="57"/>
      <c r="F705" s="57"/>
      <c r="G705" s="57"/>
      <c r="H705" s="57"/>
      <c r="I705" s="57"/>
      <c r="J705" s="57"/>
      <c r="K705" s="57"/>
      <c r="L705" s="57"/>
    </row>
    <row r="706" spans="1:12" x14ac:dyDescent="0.25">
      <c r="A706" s="57"/>
      <c r="B706" s="57"/>
      <c r="C706" s="57"/>
      <c r="D706" s="57"/>
      <c r="E706" s="57"/>
      <c r="F706" s="57"/>
      <c r="G706" s="57"/>
      <c r="H706" s="57"/>
      <c r="I706" s="57"/>
      <c r="J706" s="57"/>
      <c r="K706" s="57"/>
      <c r="L706" s="57"/>
    </row>
    <row r="707" spans="1:12" x14ac:dyDescent="0.25">
      <c r="A707" s="57"/>
      <c r="B707" s="57"/>
      <c r="C707" s="57"/>
      <c r="D707" s="57"/>
      <c r="E707" s="57"/>
      <c r="F707" s="57"/>
      <c r="G707" s="57"/>
      <c r="H707" s="57"/>
      <c r="I707" s="57"/>
      <c r="J707" s="57"/>
      <c r="K707" s="57"/>
      <c r="L707" s="57"/>
    </row>
    <row r="708" spans="1:12" x14ac:dyDescent="0.25">
      <c r="A708" s="57"/>
      <c r="B708" s="57"/>
      <c r="C708" s="57"/>
      <c r="D708" s="57"/>
      <c r="E708" s="57"/>
      <c r="F708" s="57"/>
      <c r="G708" s="57"/>
      <c r="H708" s="57"/>
      <c r="I708" s="57"/>
      <c r="J708" s="57"/>
      <c r="K708" s="57"/>
      <c r="L708" s="57"/>
    </row>
    <row r="709" spans="1:12" x14ac:dyDescent="0.25">
      <c r="A709" s="57"/>
      <c r="B709" s="57"/>
      <c r="C709" s="57"/>
      <c r="D709" s="57"/>
      <c r="E709" s="57"/>
      <c r="F709" s="57"/>
      <c r="G709" s="57"/>
      <c r="H709" s="57"/>
      <c r="I709" s="57"/>
      <c r="J709" s="57"/>
      <c r="K709" s="57"/>
      <c r="L709" s="57"/>
    </row>
    <row r="710" spans="1:12" x14ac:dyDescent="0.25">
      <c r="A710" s="57"/>
      <c r="B710" s="57"/>
      <c r="C710" s="57"/>
      <c r="D710" s="57"/>
      <c r="E710" s="57"/>
      <c r="F710" s="57"/>
      <c r="G710" s="57"/>
      <c r="H710" s="57"/>
      <c r="I710" s="57"/>
      <c r="J710" s="57"/>
      <c r="K710" s="57"/>
      <c r="L710" s="57"/>
    </row>
    <row r="711" spans="1:12" x14ac:dyDescent="0.25">
      <c r="A711" s="57"/>
      <c r="B711" s="57"/>
      <c r="C711" s="57"/>
      <c r="D711" s="57"/>
      <c r="E711" s="57"/>
      <c r="F711" s="57"/>
      <c r="G711" s="57"/>
      <c r="H711" s="57"/>
      <c r="I711" s="57"/>
      <c r="J711" s="57"/>
      <c r="K711" s="57"/>
      <c r="L711" s="57"/>
    </row>
    <row r="712" spans="1:12" x14ac:dyDescent="0.25">
      <c r="A712" s="57"/>
      <c r="B712" s="57"/>
      <c r="C712" s="57"/>
      <c r="D712" s="57"/>
      <c r="E712" s="57"/>
      <c r="F712" s="57"/>
      <c r="G712" s="57"/>
      <c r="H712" s="57"/>
      <c r="I712" s="57"/>
      <c r="J712" s="57"/>
      <c r="K712" s="57"/>
      <c r="L712" s="57"/>
    </row>
    <row r="713" spans="1:12" x14ac:dyDescent="0.25">
      <c r="A713" s="57"/>
      <c r="B713" s="57"/>
      <c r="C713" s="57"/>
      <c r="D713" s="57"/>
      <c r="E713" s="57"/>
      <c r="F713" s="57"/>
      <c r="G713" s="57"/>
      <c r="H713" s="57"/>
      <c r="I713" s="57"/>
      <c r="J713" s="57"/>
      <c r="K713" s="57"/>
      <c r="L713" s="57"/>
    </row>
    <row r="714" spans="1:12" x14ac:dyDescent="0.25">
      <c r="A714" s="57"/>
      <c r="B714" s="57"/>
      <c r="C714" s="57"/>
      <c r="D714" s="57"/>
      <c r="E714" s="57"/>
      <c r="F714" s="57"/>
      <c r="G714" s="57"/>
      <c r="H714" s="57"/>
      <c r="I714" s="57"/>
      <c r="J714" s="57"/>
      <c r="K714" s="57"/>
      <c r="L714" s="57"/>
    </row>
    <row r="715" spans="1:12" x14ac:dyDescent="0.25">
      <c r="A715" s="57"/>
      <c r="B715" s="57"/>
      <c r="C715" s="57"/>
      <c r="D715" s="57"/>
      <c r="E715" s="57"/>
      <c r="F715" s="57"/>
      <c r="G715" s="57"/>
      <c r="H715" s="57"/>
      <c r="I715" s="57"/>
      <c r="J715" s="57"/>
      <c r="K715" s="57"/>
      <c r="L715" s="57"/>
    </row>
    <row r="716" spans="1:12" x14ac:dyDescent="0.25">
      <c r="A716" s="57"/>
      <c r="B716" s="57"/>
      <c r="C716" s="57"/>
      <c r="D716" s="57"/>
      <c r="E716" s="57"/>
      <c r="F716" s="57"/>
      <c r="G716" s="57"/>
      <c r="H716" s="57"/>
      <c r="I716" s="57"/>
      <c r="J716" s="57"/>
      <c r="K716" s="57"/>
      <c r="L716" s="57"/>
    </row>
    <row r="717" spans="1:12" x14ac:dyDescent="0.25">
      <c r="A717" s="57"/>
      <c r="B717" s="57"/>
      <c r="C717" s="57"/>
      <c r="D717" s="57"/>
      <c r="E717" s="57"/>
      <c r="F717" s="57"/>
      <c r="G717" s="57"/>
      <c r="H717" s="57"/>
      <c r="I717" s="57"/>
      <c r="J717" s="57"/>
      <c r="K717" s="57"/>
      <c r="L717" s="57"/>
    </row>
    <row r="718" spans="1:12" x14ac:dyDescent="0.25">
      <c r="A718" s="57"/>
      <c r="B718" s="57"/>
      <c r="C718" s="57"/>
      <c r="D718" s="57"/>
      <c r="E718" s="57"/>
      <c r="F718" s="57"/>
      <c r="G718" s="57"/>
      <c r="H718" s="57"/>
      <c r="I718" s="57"/>
      <c r="J718" s="57"/>
      <c r="K718" s="57"/>
      <c r="L718" s="57"/>
    </row>
    <row r="719" spans="1:12" x14ac:dyDescent="0.25">
      <c r="A719" s="57"/>
      <c r="B719" s="57"/>
      <c r="C719" s="57"/>
      <c r="D719" s="57"/>
      <c r="E719" s="57"/>
      <c r="F719" s="57"/>
      <c r="G719" s="57"/>
      <c r="H719" s="57"/>
      <c r="I719" s="57"/>
      <c r="J719" s="57"/>
      <c r="K719" s="57"/>
      <c r="L719" s="57"/>
    </row>
    <row r="720" spans="1:12" x14ac:dyDescent="0.25">
      <c r="A720" s="57"/>
      <c r="B720" s="57"/>
      <c r="C720" s="57"/>
      <c r="D720" s="57"/>
      <c r="E720" s="57"/>
      <c r="F720" s="57"/>
      <c r="G720" s="57"/>
      <c r="H720" s="57"/>
      <c r="I720" s="57"/>
      <c r="J720" s="57"/>
      <c r="K720" s="57"/>
      <c r="L720" s="57"/>
    </row>
    <row r="721" spans="1:12" x14ac:dyDescent="0.25">
      <c r="A721" s="57"/>
      <c r="B721" s="57"/>
      <c r="C721" s="57"/>
      <c r="D721" s="57"/>
      <c r="E721" s="57"/>
      <c r="F721" s="57"/>
      <c r="G721" s="57"/>
      <c r="H721" s="57"/>
      <c r="I721" s="57"/>
      <c r="J721" s="57"/>
      <c r="K721" s="57"/>
      <c r="L721" s="57"/>
    </row>
    <row r="722" spans="1:12" x14ac:dyDescent="0.25">
      <c r="A722" s="57"/>
      <c r="B722" s="57"/>
      <c r="C722" s="57"/>
      <c r="D722" s="57"/>
      <c r="E722" s="57"/>
      <c r="F722" s="57"/>
      <c r="G722" s="57"/>
      <c r="H722" s="57"/>
      <c r="I722" s="57"/>
      <c r="J722" s="57"/>
      <c r="K722" s="57"/>
      <c r="L722" s="57"/>
    </row>
    <row r="723" spans="1:12" x14ac:dyDescent="0.25">
      <c r="A723" s="57"/>
      <c r="B723" s="57"/>
      <c r="C723" s="57"/>
      <c r="D723" s="57"/>
      <c r="E723" s="57"/>
      <c r="F723" s="57"/>
      <c r="G723" s="57"/>
      <c r="H723" s="57"/>
      <c r="I723" s="57"/>
      <c r="J723" s="57"/>
      <c r="K723" s="57"/>
      <c r="L723" s="57"/>
    </row>
    <row r="724" spans="1:12" x14ac:dyDescent="0.25">
      <c r="A724" s="57"/>
      <c r="B724" s="57"/>
      <c r="C724" s="57"/>
      <c r="D724" s="57"/>
      <c r="E724" s="57"/>
      <c r="F724" s="57"/>
      <c r="G724" s="57"/>
      <c r="H724" s="57"/>
      <c r="I724" s="57"/>
      <c r="J724" s="57"/>
      <c r="K724" s="57"/>
      <c r="L724" s="57"/>
    </row>
    <row r="725" spans="1:12" x14ac:dyDescent="0.25">
      <c r="A725" s="57"/>
      <c r="B725" s="57"/>
      <c r="C725" s="57"/>
      <c r="D725" s="57"/>
      <c r="E725" s="57"/>
      <c r="F725" s="57"/>
      <c r="G725" s="57"/>
      <c r="H725" s="57"/>
      <c r="I725" s="57"/>
      <c r="J725" s="57"/>
      <c r="K725" s="57"/>
      <c r="L725" s="57"/>
    </row>
    <row r="726" spans="1:12" x14ac:dyDescent="0.25">
      <c r="A726" s="57"/>
      <c r="B726" s="57"/>
      <c r="C726" s="57"/>
      <c r="D726" s="57"/>
      <c r="E726" s="57"/>
      <c r="F726" s="57"/>
      <c r="G726" s="57"/>
      <c r="H726" s="57"/>
      <c r="I726" s="57"/>
      <c r="J726" s="57"/>
      <c r="K726" s="57"/>
      <c r="L726" s="57"/>
    </row>
    <row r="727" spans="1:12" x14ac:dyDescent="0.25">
      <c r="A727" s="57"/>
      <c r="B727" s="57"/>
      <c r="C727" s="57"/>
      <c r="D727" s="57"/>
      <c r="E727" s="57"/>
      <c r="F727" s="57"/>
      <c r="G727" s="57"/>
      <c r="H727" s="57"/>
      <c r="I727" s="57"/>
      <c r="J727" s="57"/>
      <c r="K727" s="57"/>
      <c r="L727" s="57"/>
    </row>
    <row r="728" spans="1:12" x14ac:dyDescent="0.25">
      <c r="A728" s="57"/>
      <c r="B728" s="57"/>
      <c r="C728" s="57"/>
      <c r="D728" s="57"/>
      <c r="E728" s="57"/>
      <c r="F728" s="57"/>
      <c r="G728" s="57"/>
      <c r="H728" s="57"/>
      <c r="I728" s="57"/>
      <c r="J728" s="57"/>
      <c r="K728" s="57"/>
      <c r="L728" s="57"/>
    </row>
    <row r="729" spans="1:12" x14ac:dyDescent="0.25">
      <c r="A729" s="57"/>
      <c r="B729" s="57"/>
      <c r="C729" s="57"/>
      <c r="D729" s="57"/>
      <c r="E729" s="57"/>
      <c r="F729" s="57"/>
      <c r="G729" s="57"/>
      <c r="H729" s="57"/>
      <c r="I729" s="57"/>
      <c r="J729" s="57"/>
      <c r="K729" s="57"/>
      <c r="L729" s="57"/>
    </row>
    <row r="730" spans="1:12" x14ac:dyDescent="0.25">
      <c r="A730" s="57"/>
      <c r="B730" s="57"/>
      <c r="C730" s="57"/>
      <c r="D730" s="57"/>
      <c r="E730" s="57"/>
      <c r="F730" s="57"/>
      <c r="G730" s="57"/>
      <c r="H730" s="57"/>
      <c r="I730" s="57"/>
      <c r="J730" s="57"/>
      <c r="K730" s="57"/>
      <c r="L730" s="57"/>
    </row>
    <row r="731" spans="1:12" x14ac:dyDescent="0.25">
      <c r="A731" s="57"/>
      <c r="B731" s="57"/>
      <c r="C731" s="57"/>
      <c r="D731" s="57"/>
      <c r="E731" s="57"/>
      <c r="F731" s="57"/>
      <c r="G731" s="57"/>
      <c r="H731" s="57"/>
      <c r="I731" s="57"/>
      <c r="J731" s="57"/>
      <c r="K731" s="57"/>
      <c r="L731" s="57"/>
    </row>
    <row r="732" spans="1:12" x14ac:dyDescent="0.25">
      <c r="A732" s="57"/>
      <c r="B732" s="57"/>
      <c r="C732" s="57"/>
      <c r="D732" s="57"/>
      <c r="E732" s="57"/>
      <c r="F732" s="57"/>
      <c r="G732" s="57"/>
      <c r="H732" s="57"/>
      <c r="I732" s="57"/>
      <c r="J732" s="57"/>
      <c r="K732" s="57"/>
      <c r="L732" s="57"/>
    </row>
    <row r="733" spans="1:12" x14ac:dyDescent="0.25">
      <c r="A733" s="57"/>
      <c r="B733" s="57"/>
      <c r="C733" s="57"/>
      <c r="D733" s="57"/>
      <c r="E733" s="57"/>
      <c r="F733" s="57"/>
      <c r="G733" s="57"/>
      <c r="H733" s="57"/>
      <c r="I733" s="57"/>
      <c r="J733" s="57"/>
      <c r="K733" s="57"/>
      <c r="L733" s="57"/>
    </row>
    <row r="734" spans="1:12" x14ac:dyDescent="0.25">
      <c r="A734" s="57"/>
      <c r="B734" s="57"/>
      <c r="C734" s="57"/>
      <c r="D734" s="57"/>
      <c r="E734" s="57"/>
      <c r="F734" s="57"/>
      <c r="G734" s="57"/>
      <c r="H734" s="57"/>
      <c r="I734" s="57"/>
      <c r="J734" s="57"/>
      <c r="K734" s="57"/>
      <c r="L734" s="57"/>
    </row>
    <row r="735" spans="1:12" x14ac:dyDescent="0.25">
      <c r="A735" s="57"/>
      <c r="B735" s="57"/>
      <c r="C735" s="57"/>
      <c r="D735" s="57"/>
      <c r="E735" s="57"/>
      <c r="F735" s="57"/>
      <c r="G735" s="57"/>
      <c r="H735" s="57"/>
      <c r="I735" s="57"/>
      <c r="J735" s="57"/>
      <c r="K735" s="57"/>
      <c r="L735" s="57"/>
    </row>
    <row r="736" spans="1:12" x14ac:dyDescent="0.25">
      <c r="A736" s="57"/>
      <c r="B736" s="57"/>
      <c r="C736" s="57"/>
      <c r="D736" s="57"/>
      <c r="E736" s="57"/>
      <c r="F736" s="57"/>
      <c r="G736" s="57"/>
      <c r="H736" s="57"/>
      <c r="I736" s="57"/>
      <c r="J736" s="57"/>
      <c r="K736" s="57"/>
      <c r="L736" s="57"/>
    </row>
    <row r="737" spans="1:12" x14ac:dyDescent="0.25">
      <c r="A737" s="57"/>
      <c r="B737" s="57"/>
      <c r="C737" s="57"/>
      <c r="D737" s="57"/>
      <c r="E737" s="57"/>
      <c r="F737" s="57"/>
      <c r="G737" s="57"/>
      <c r="H737" s="57"/>
      <c r="I737" s="57"/>
      <c r="J737" s="57"/>
      <c r="K737" s="57"/>
      <c r="L737" s="57"/>
    </row>
    <row r="738" spans="1:12" x14ac:dyDescent="0.25">
      <c r="A738" s="57"/>
      <c r="B738" s="57"/>
      <c r="C738" s="57"/>
      <c r="D738" s="57"/>
      <c r="E738" s="57"/>
      <c r="F738" s="57"/>
      <c r="G738" s="57"/>
      <c r="H738" s="57"/>
      <c r="I738" s="57"/>
      <c r="J738" s="57"/>
      <c r="K738" s="57"/>
      <c r="L738" s="57"/>
    </row>
    <row r="739" spans="1:12" x14ac:dyDescent="0.25">
      <c r="A739" s="57"/>
      <c r="B739" s="57"/>
      <c r="C739" s="57"/>
      <c r="D739" s="57"/>
      <c r="E739" s="57"/>
      <c r="F739" s="57"/>
      <c r="G739" s="57"/>
      <c r="H739" s="57"/>
      <c r="I739" s="57"/>
      <c r="J739" s="57"/>
      <c r="K739" s="57"/>
      <c r="L739" s="57"/>
    </row>
    <row r="740" spans="1:12" x14ac:dyDescent="0.25">
      <c r="A740" s="57"/>
      <c r="B740" s="57"/>
      <c r="C740" s="57"/>
      <c r="D740" s="57"/>
      <c r="E740" s="57"/>
      <c r="F740" s="57"/>
      <c r="G740" s="57"/>
      <c r="H740" s="57"/>
      <c r="I740" s="57"/>
      <c r="J740" s="57"/>
      <c r="K740" s="57"/>
      <c r="L740" s="57"/>
    </row>
    <row r="741" spans="1:12" x14ac:dyDescent="0.25">
      <c r="A741" s="57"/>
      <c r="B741" s="57"/>
      <c r="C741" s="57"/>
      <c r="D741" s="57"/>
      <c r="E741" s="57"/>
      <c r="F741" s="57"/>
      <c r="G741" s="57"/>
      <c r="H741" s="57"/>
      <c r="I741" s="57"/>
      <c r="J741" s="57"/>
      <c r="K741" s="57"/>
      <c r="L741" s="57"/>
    </row>
    <row r="742" spans="1:12" x14ac:dyDescent="0.25">
      <c r="A742" s="57"/>
      <c r="B742" s="57"/>
      <c r="C742" s="57"/>
      <c r="D742" s="57"/>
      <c r="E742" s="57"/>
      <c r="F742" s="57"/>
      <c r="G742" s="57"/>
      <c r="H742" s="57"/>
      <c r="I742" s="57"/>
      <c r="J742" s="57"/>
      <c r="K742" s="57"/>
      <c r="L742" s="57"/>
    </row>
    <row r="743" spans="1:12" x14ac:dyDescent="0.25">
      <c r="A743" s="57"/>
      <c r="B743" s="57"/>
      <c r="C743" s="57"/>
      <c r="D743" s="57"/>
      <c r="E743" s="57"/>
      <c r="F743" s="57"/>
      <c r="G743" s="57"/>
      <c r="H743" s="57"/>
      <c r="I743" s="57"/>
      <c r="J743" s="57"/>
      <c r="K743" s="57"/>
      <c r="L743" s="57"/>
    </row>
    <row r="744" spans="1:12" x14ac:dyDescent="0.25">
      <c r="A744" s="57"/>
      <c r="B744" s="57"/>
      <c r="C744" s="57"/>
      <c r="D744" s="57"/>
      <c r="E744" s="57"/>
      <c r="F744" s="57"/>
      <c r="G744" s="57"/>
      <c r="H744" s="57"/>
      <c r="I744" s="57"/>
      <c r="J744" s="57"/>
      <c r="K744" s="57"/>
      <c r="L744" s="57"/>
    </row>
    <row r="745" spans="1:12" x14ac:dyDescent="0.25">
      <c r="A745" s="57"/>
      <c r="B745" s="57"/>
      <c r="C745" s="57"/>
      <c r="D745" s="57"/>
      <c r="E745" s="57"/>
      <c r="F745" s="57"/>
      <c r="G745" s="57"/>
      <c r="H745" s="57"/>
      <c r="I745" s="57"/>
      <c r="J745" s="57"/>
      <c r="K745" s="57"/>
      <c r="L745" s="57"/>
    </row>
    <row r="746" spans="1:12" x14ac:dyDescent="0.25">
      <c r="A746" s="57"/>
      <c r="B746" s="57"/>
      <c r="C746" s="57"/>
      <c r="D746" s="57"/>
      <c r="E746" s="57"/>
      <c r="F746" s="57"/>
      <c r="G746" s="57"/>
      <c r="H746" s="57"/>
      <c r="I746" s="57"/>
      <c r="J746" s="57"/>
      <c r="K746" s="57"/>
      <c r="L746" s="57"/>
    </row>
    <row r="747" spans="1:12" x14ac:dyDescent="0.25">
      <c r="A747" s="57"/>
      <c r="B747" s="57"/>
      <c r="C747" s="57"/>
      <c r="D747" s="57"/>
      <c r="E747" s="57"/>
      <c r="F747" s="57"/>
      <c r="G747" s="57"/>
      <c r="H747" s="57"/>
      <c r="I747" s="57"/>
      <c r="J747" s="57"/>
      <c r="K747" s="57"/>
      <c r="L747" s="57"/>
    </row>
    <row r="748" spans="1:12" x14ac:dyDescent="0.25">
      <c r="A748" s="57"/>
      <c r="B748" s="57"/>
      <c r="C748" s="57"/>
      <c r="D748" s="57"/>
      <c r="E748" s="57"/>
      <c r="F748" s="57"/>
      <c r="G748" s="57"/>
      <c r="H748" s="57"/>
      <c r="I748" s="57"/>
      <c r="J748" s="57"/>
      <c r="K748" s="57"/>
      <c r="L748" s="57"/>
    </row>
    <row r="749" spans="1:12" x14ac:dyDescent="0.25">
      <c r="A749" s="57"/>
      <c r="B749" s="57"/>
      <c r="C749" s="57"/>
      <c r="D749" s="57"/>
      <c r="E749" s="57"/>
      <c r="F749" s="57"/>
      <c r="G749" s="57"/>
      <c r="H749" s="57"/>
      <c r="I749" s="57"/>
      <c r="J749" s="57"/>
      <c r="K749" s="57"/>
      <c r="L749" s="57"/>
    </row>
    <row r="750" spans="1:12" x14ac:dyDescent="0.25">
      <c r="A750" s="57"/>
      <c r="B750" s="57"/>
      <c r="C750" s="57"/>
      <c r="D750" s="57"/>
      <c r="E750" s="57"/>
      <c r="F750" s="57"/>
      <c r="G750" s="57"/>
      <c r="H750" s="57"/>
      <c r="I750" s="57"/>
      <c r="J750" s="57"/>
      <c r="K750" s="57"/>
      <c r="L750" s="57"/>
    </row>
    <row r="751" spans="1:12" x14ac:dyDescent="0.25">
      <c r="A751" s="57"/>
      <c r="B751" s="57"/>
      <c r="C751" s="57"/>
      <c r="D751" s="57"/>
      <c r="E751" s="57"/>
      <c r="F751" s="57"/>
      <c r="G751" s="57"/>
      <c r="H751" s="57"/>
      <c r="I751" s="57"/>
      <c r="J751" s="57"/>
      <c r="K751" s="57"/>
      <c r="L751" s="57"/>
    </row>
    <row r="752" spans="1:12" x14ac:dyDescent="0.25">
      <c r="A752" s="57"/>
      <c r="B752" s="57"/>
      <c r="C752" s="57"/>
      <c r="D752" s="57"/>
      <c r="E752" s="57"/>
      <c r="F752" s="57"/>
      <c r="G752" s="57"/>
      <c r="H752" s="57"/>
      <c r="I752" s="57"/>
      <c r="J752" s="57"/>
      <c r="K752" s="57"/>
      <c r="L752" s="57"/>
    </row>
    <row r="753" spans="1:12" x14ac:dyDescent="0.25">
      <c r="A753" s="57"/>
      <c r="B753" s="57"/>
      <c r="C753" s="57"/>
      <c r="D753" s="57"/>
      <c r="E753" s="57"/>
      <c r="F753" s="57"/>
      <c r="G753" s="57"/>
      <c r="H753" s="57"/>
      <c r="I753" s="57"/>
      <c r="J753" s="57"/>
      <c r="K753" s="57"/>
      <c r="L753" s="57"/>
    </row>
    <row r="754" spans="1:12" x14ac:dyDescent="0.25">
      <c r="A754" s="57"/>
      <c r="B754" s="57"/>
      <c r="C754" s="57"/>
      <c r="D754" s="57"/>
      <c r="E754" s="57"/>
      <c r="F754" s="57"/>
      <c r="G754" s="57"/>
      <c r="H754" s="57"/>
      <c r="I754" s="57"/>
      <c r="J754" s="57"/>
      <c r="K754" s="57"/>
      <c r="L754" s="57"/>
    </row>
    <row r="755" spans="1:12" x14ac:dyDescent="0.25">
      <c r="A755" s="57"/>
      <c r="B755" s="57"/>
      <c r="C755" s="57"/>
      <c r="D755" s="57"/>
      <c r="E755" s="57"/>
      <c r="F755" s="57"/>
      <c r="G755" s="57"/>
      <c r="H755" s="57"/>
      <c r="I755" s="57"/>
      <c r="J755" s="57"/>
      <c r="K755" s="57"/>
      <c r="L755" s="57"/>
    </row>
    <row r="756" spans="1:12" x14ac:dyDescent="0.25">
      <c r="A756" s="57"/>
      <c r="B756" s="57"/>
      <c r="C756" s="57"/>
      <c r="D756" s="57"/>
      <c r="E756" s="57"/>
      <c r="F756" s="57"/>
      <c r="G756" s="57"/>
      <c r="H756" s="57"/>
      <c r="I756" s="57"/>
      <c r="J756" s="57"/>
      <c r="K756" s="57"/>
      <c r="L756" s="57"/>
    </row>
    <row r="757" spans="1:12" x14ac:dyDescent="0.25">
      <c r="A757" s="57"/>
      <c r="B757" s="57"/>
      <c r="C757" s="57"/>
      <c r="D757" s="57"/>
      <c r="E757" s="57"/>
      <c r="F757" s="57"/>
      <c r="G757" s="57"/>
      <c r="H757" s="57"/>
      <c r="I757" s="57"/>
      <c r="J757" s="57"/>
      <c r="K757" s="57"/>
      <c r="L757" s="57"/>
    </row>
    <row r="758" spans="1:12" x14ac:dyDescent="0.25">
      <c r="A758" s="57"/>
      <c r="B758" s="57"/>
      <c r="C758" s="57"/>
      <c r="D758" s="57"/>
      <c r="E758" s="57"/>
      <c r="F758" s="57"/>
      <c r="G758" s="57"/>
      <c r="H758" s="57"/>
      <c r="I758" s="57"/>
      <c r="J758" s="57"/>
      <c r="K758" s="57"/>
      <c r="L758" s="57"/>
    </row>
    <row r="759" spans="1:12" x14ac:dyDescent="0.25">
      <c r="A759" s="57"/>
      <c r="B759" s="57"/>
      <c r="C759" s="57"/>
      <c r="D759" s="57"/>
      <c r="E759" s="57"/>
      <c r="F759" s="57"/>
      <c r="G759" s="57"/>
      <c r="H759" s="57"/>
      <c r="I759" s="57"/>
      <c r="J759" s="57"/>
      <c r="K759" s="57"/>
      <c r="L759" s="57"/>
    </row>
    <row r="760" spans="1:12" x14ac:dyDescent="0.25">
      <c r="A760" s="57"/>
      <c r="B760" s="57"/>
      <c r="C760" s="57"/>
      <c r="D760" s="57"/>
      <c r="E760" s="57"/>
      <c r="F760" s="57"/>
      <c r="G760" s="57"/>
      <c r="H760" s="57"/>
      <c r="I760" s="57"/>
      <c r="J760" s="57"/>
      <c r="K760" s="57"/>
      <c r="L760" s="57"/>
    </row>
    <row r="761" spans="1:12" x14ac:dyDescent="0.25">
      <c r="A761" s="57"/>
      <c r="B761" s="57"/>
      <c r="C761" s="57"/>
      <c r="D761" s="57"/>
      <c r="E761" s="57"/>
      <c r="F761" s="57"/>
      <c r="G761" s="57"/>
      <c r="H761" s="57"/>
      <c r="I761" s="57"/>
      <c r="J761" s="57"/>
      <c r="K761" s="57"/>
      <c r="L761" s="57"/>
    </row>
    <row r="762" spans="1:12" x14ac:dyDescent="0.25">
      <c r="A762" s="57"/>
      <c r="B762" s="57"/>
      <c r="C762" s="57"/>
      <c r="D762" s="57"/>
      <c r="E762" s="57"/>
      <c r="F762" s="57"/>
      <c r="G762" s="57"/>
      <c r="H762" s="57"/>
      <c r="I762" s="57"/>
      <c r="J762" s="57"/>
      <c r="K762" s="57"/>
      <c r="L762" s="57"/>
    </row>
    <row r="763" spans="1:12" x14ac:dyDescent="0.25">
      <c r="A763" s="57"/>
      <c r="B763" s="57"/>
      <c r="C763" s="57"/>
      <c r="D763" s="57"/>
      <c r="E763" s="57"/>
      <c r="F763" s="57"/>
      <c r="G763" s="57"/>
      <c r="H763" s="57"/>
      <c r="I763" s="57"/>
      <c r="J763" s="57"/>
      <c r="K763" s="57"/>
      <c r="L763" s="57"/>
    </row>
    <row r="764" spans="1:12" x14ac:dyDescent="0.25">
      <c r="A764" s="57"/>
      <c r="B764" s="57"/>
      <c r="C764" s="57"/>
      <c r="D764" s="57"/>
      <c r="E764" s="57"/>
      <c r="F764" s="57"/>
      <c r="G764" s="57"/>
      <c r="H764" s="57"/>
      <c r="I764" s="57"/>
      <c r="J764" s="57"/>
      <c r="K764" s="57"/>
      <c r="L764" s="57"/>
    </row>
    <row r="765" spans="1:12" x14ac:dyDescent="0.25">
      <c r="A765" s="57"/>
      <c r="B765" s="57"/>
      <c r="C765" s="57"/>
      <c r="D765" s="57"/>
      <c r="E765" s="57"/>
      <c r="F765" s="57"/>
      <c r="G765" s="57"/>
      <c r="H765" s="57"/>
      <c r="I765" s="57"/>
      <c r="J765" s="57"/>
      <c r="K765" s="57"/>
      <c r="L765" s="57"/>
    </row>
    <row r="766" spans="1:12" x14ac:dyDescent="0.25">
      <c r="A766" s="57"/>
      <c r="B766" s="57"/>
      <c r="C766" s="57"/>
      <c r="D766" s="57"/>
      <c r="E766" s="57"/>
      <c r="F766" s="57"/>
      <c r="G766" s="57"/>
      <c r="H766" s="57"/>
      <c r="I766" s="57"/>
      <c r="J766" s="57"/>
      <c r="K766" s="57"/>
      <c r="L766" s="57"/>
    </row>
    <row r="767" spans="1:12" x14ac:dyDescent="0.25">
      <c r="A767" s="57"/>
      <c r="B767" s="57"/>
      <c r="C767" s="57"/>
      <c r="D767" s="57"/>
      <c r="E767" s="57"/>
      <c r="F767" s="57"/>
      <c r="G767" s="57"/>
      <c r="H767" s="57"/>
      <c r="I767" s="57"/>
      <c r="J767" s="57"/>
      <c r="K767" s="57"/>
      <c r="L767" s="57"/>
    </row>
    <row r="768" spans="1:12" x14ac:dyDescent="0.25">
      <c r="A768" s="57"/>
      <c r="B768" s="57"/>
      <c r="C768" s="57"/>
      <c r="D768" s="57"/>
      <c r="E768" s="57"/>
      <c r="F768" s="57"/>
      <c r="G768" s="57"/>
      <c r="H768" s="57"/>
      <c r="I768" s="57"/>
      <c r="J768" s="57"/>
      <c r="K768" s="57"/>
      <c r="L768" s="57"/>
    </row>
    <row r="769" spans="1:12" x14ac:dyDescent="0.25">
      <c r="A769" s="57"/>
      <c r="B769" s="57"/>
      <c r="C769" s="57"/>
      <c r="D769" s="57"/>
      <c r="E769" s="57"/>
      <c r="F769" s="57"/>
      <c r="G769" s="57"/>
      <c r="H769" s="57"/>
      <c r="I769" s="57"/>
      <c r="J769" s="57"/>
      <c r="K769" s="57"/>
      <c r="L769" s="57"/>
    </row>
    <row r="770" spans="1:12" x14ac:dyDescent="0.25">
      <c r="A770" s="57"/>
      <c r="B770" s="57"/>
      <c r="C770" s="57"/>
      <c r="D770" s="57"/>
      <c r="E770" s="57"/>
      <c r="F770" s="57"/>
      <c r="G770" s="57"/>
      <c r="H770" s="57"/>
      <c r="I770" s="57"/>
      <c r="J770" s="57"/>
      <c r="K770" s="57"/>
      <c r="L770" s="57"/>
    </row>
    <row r="771" spans="1:12" x14ac:dyDescent="0.25">
      <c r="A771" s="57"/>
      <c r="B771" s="57"/>
      <c r="C771" s="57"/>
      <c r="D771" s="57"/>
      <c r="E771" s="57"/>
      <c r="F771" s="57"/>
      <c r="G771" s="57"/>
      <c r="H771" s="57"/>
      <c r="I771" s="57"/>
      <c r="J771" s="57"/>
      <c r="K771" s="57"/>
      <c r="L771" s="57"/>
    </row>
    <row r="772" spans="1:12" x14ac:dyDescent="0.25">
      <c r="A772" s="57"/>
      <c r="B772" s="57"/>
      <c r="C772" s="57"/>
      <c r="D772" s="57"/>
      <c r="E772" s="57"/>
      <c r="F772" s="57"/>
      <c r="G772" s="57"/>
      <c r="H772" s="57"/>
      <c r="I772" s="57"/>
      <c r="J772" s="57"/>
      <c r="K772" s="57"/>
      <c r="L772" s="57"/>
    </row>
    <row r="773" spans="1:12" x14ac:dyDescent="0.25">
      <c r="A773" s="57"/>
      <c r="B773" s="57"/>
      <c r="C773" s="57"/>
      <c r="D773" s="57"/>
      <c r="E773" s="57"/>
      <c r="F773" s="57"/>
      <c r="G773" s="57"/>
      <c r="H773" s="57"/>
      <c r="I773" s="57"/>
      <c r="J773" s="57"/>
      <c r="K773" s="57"/>
      <c r="L773" s="57"/>
    </row>
    <row r="774" spans="1:12" x14ac:dyDescent="0.25">
      <c r="A774" s="57"/>
      <c r="B774" s="57"/>
      <c r="C774" s="57"/>
      <c r="D774" s="57"/>
      <c r="E774" s="57"/>
      <c r="F774" s="57"/>
      <c r="G774" s="57"/>
      <c r="H774" s="57"/>
      <c r="I774" s="57"/>
      <c r="J774" s="57"/>
      <c r="K774" s="57"/>
      <c r="L774" s="57"/>
    </row>
    <row r="775" spans="1:12" x14ac:dyDescent="0.25">
      <c r="A775" s="57"/>
      <c r="B775" s="57"/>
      <c r="C775" s="57"/>
      <c r="D775" s="57"/>
      <c r="E775" s="57"/>
      <c r="F775" s="57"/>
      <c r="G775" s="57"/>
      <c r="H775" s="57"/>
      <c r="I775" s="57"/>
      <c r="J775" s="57"/>
      <c r="K775" s="57"/>
      <c r="L775" s="57"/>
    </row>
    <row r="776" spans="1:12" x14ac:dyDescent="0.25">
      <c r="A776" s="57"/>
      <c r="B776" s="57"/>
      <c r="C776" s="57"/>
      <c r="D776" s="57"/>
      <c r="E776" s="57"/>
      <c r="F776" s="57"/>
      <c r="G776" s="57"/>
      <c r="H776" s="57"/>
      <c r="I776" s="57"/>
      <c r="J776" s="57"/>
      <c r="K776" s="57"/>
      <c r="L776" s="57"/>
    </row>
    <row r="777" spans="1:12" x14ac:dyDescent="0.25">
      <c r="A777" s="57"/>
      <c r="B777" s="57"/>
      <c r="C777" s="57"/>
      <c r="D777" s="57"/>
      <c r="E777" s="57"/>
      <c r="F777" s="57"/>
      <c r="G777" s="57"/>
      <c r="H777" s="57"/>
      <c r="I777" s="57"/>
      <c r="J777" s="57"/>
      <c r="K777" s="57"/>
      <c r="L777" s="57"/>
    </row>
    <row r="778" spans="1:12" x14ac:dyDescent="0.25">
      <c r="A778" s="57"/>
      <c r="B778" s="57"/>
      <c r="C778" s="57"/>
      <c r="D778" s="57"/>
      <c r="E778" s="57"/>
      <c r="F778" s="57"/>
      <c r="G778" s="57"/>
      <c r="H778" s="57"/>
      <c r="I778" s="57"/>
      <c r="J778" s="57"/>
      <c r="K778" s="57"/>
      <c r="L778" s="57"/>
    </row>
    <row r="779" spans="1:12" x14ac:dyDescent="0.25">
      <c r="A779" s="57"/>
      <c r="B779" s="57"/>
      <c r="C779" s="57"/>
      <c r="D779" s="57"/>
      <c r="E779" s="57"/>
      <c r="F779" s="57"/>
      <c r="G779" s="57"/>
      <c r="H779" s="57"/>
      <c r="I779" s="57"/>
      <c r="J779" s="57"/>
      <c r="K779" s="57"/>
      <c r="L779" s="57"/>
    </row>
    <row r="780" spans="1:12" x14ac:dyDescent="0.25">
      <c r="A780" s="57"/>
      <c r="B780" s="57"/>
      <c r="C780" s="57"/>
      <c r="D780" s="57"/>
      <c r="E780" s="57"/>
      <c r="F780" s="57"/>
      <c r="G780" s="57"/>
      <c r="H780" s="57"/>
      <c r="I780" s="57"/>
      <c r="J780" s="57"/>
      <c r="K780" s="57"/>
      <c r="L780" s="57"/>
    </row>
    <row r="781" spans="1:12" x14ac:dyDescent="0.25">
      <c r="A781" s="57"/>
      <c r="B781" s="57"/>
      <c r="C781" s="57"/>
      <c r="D781" s="57"/>
      <c r="E781" s="57"/>
      <c r="F781" s="57"/>
      <c r="G781" s="57"/>
      <c r="H781" s="57"/>
      <c r="I781" s="57"/>
      <c r="J781" s="57"/>
      <c r="K781" s="57"/>
      <c r="L781" s="57"/>
    </row>
    <row r="782" spans="1:12" x14ac:dyDescent="0.25">
      <c r="A782" s="57"/>
      <c r="B782" s="57"/>
      <c r="C782" s="57"/>
      <c r="D782" s="57"/>
      <c r="E782" s="57"/>
      <c r="F782" s="57"/>
      <c r="G782" s="57"/>
      <c r="H782" s="57"/>
      <c r="I782" s="57"/>
      <c r="J782" s="57"/>
      <c r="K782" s="57"/>
      <c r="L782" s="57"/>
    </row>
    <row r="783" spans="1:12" x14ac:dyDescent="0.25">
      <c r="A783" s="57"/>
      <c r="B783" s="57"/>
      <c r="C783" s="57"/>
      <c r="D783" s="57"/>
      <c r="E783" s="57"/>
      <c r="F783" s="57"/>
      <c r="G783" s="57"/>
      <c r="H783" s="57"/>
      <c r="I783" s="57"/>
      <c r="J783" s="57"/>
      <c r="K783" s="57"/>
      <c r="L783" s="57"/>
    </row>
    <row r="784" spans="1:12" x14ac:dyDescent="0.25">
      <c r="A784" s="57"/>
      <c r="B784" s="57"/>
      <c r="C784" s="57"/>
      <c r="D784" s="57"/>
      <c r="E784" s="57"/>
      <c r="F784" s="57"/>
      <c r="G784" s="57"/>
      <c r="H784" s="57"/>
      <c r="I784" s="57"/>
      <c r="J784" s="57"/>
      <c r="K784" s="57"/>
      <c r="L784" s="57"/>
    </row>
    <row r="785" spans="1:12" x14ac:dyDescent="0.25">
      <c r="A785" s="57"/>
      <c r="B785" s="57"/>
      <c r="C785" s="57"/>
      <c r="D785" s="57"/>
      <c r="E785" s="57"/>
      <c r="F785" s="57"/>
      <c r="G785" s="57"/>
      <c r="H785" s="57"/>
      <c r="I785" s="57"/>
      <c r="J785" s="57"/>
      <c r="K785" s="57"/>
      <c r="L785" s="57"/>
    </row>
    <row r="786" spans="1:12" x14ac:dyDescent="0.25">
      <c r="A786" s="57"/>
      <c r="B786" s="57"/>
      <c r="C786" s="57"/>
      <c r="D786" s="57"/>
      <c r="E786" s="57"/>
      <c r="F786" s="57"/>
      <c r="G786" s="57"/>
      <c r="H786" s="57"/>
      <c r="I786" s="57"/>
      <c r="J786" s="57"/>
      <c r="K786" s="57"/>
      <c r="L786" s="57"/>
    </row>
    <row r="787" spans="1:12" x14ac:dyDescent="0.25">
      <c r="A787" s="57"/>
      <c r="B787" s="57"/>
      <c r="C787" s="57"/>
      <c r="D787" s="57"/>
      <c r="E787" s="57"/>
      <c r="F787" s="57"/>
      <c r="G787" s="57"/>
      <c r="H787" s="57"/>
      <c r="I787" s="57"/>
      <c r="J787" s="57"/>
      <c r="K787" s="57"/>
      <c r="L787" s="57"/>
    </row>
    <row r="788" spans="1:12" x14ac:dyDescent="0.25">
      <c r="A788" s="57"/>
      <c r="B788" s="57"/>
      <c r="C788" s="57"/>
      <c r="D788" s="57"/>
      <c r="E788" s="57"/>
      <c r="F788" s="57"/>
      <c r="G788" s="57"/>
      <c r="H788" s="57"/>
      <c r="I788" s="57"/>
      <c r="J788" s="57"/>
      <c r="K788" s="57"/>
      <c r="L788" s="57"/>
    </row>
    <row r="789" spans="1:12" x14ac:dyDescent="0.25">
      <c r="A789" s="57"/>
      <c r="B789" s="57"/>
      <c r="C789" s="57"/>
      <c r="D789" s="57"/>
      <c r="E789" s="57"/>
      <c r="F789" s="57"/>
      <c r="G789" s="57"/>
      <c r="H789" s="57"/>
      <c r="I789" s="57"/>
      <c r="J789" s="57"/>
      <c r="K789" s="57"/>
      <c r="L789" s="57"/>
    </row>
    <row r="790" spans="1:12" x14ac:dyDescent="0.25">
      <c r="A790" s="57"/>
      <c r="B790" s="57"/>
      <c r="C790" s="57"/>
      <c r="D790" s="57"/>
      <c r="E790" s="57"/>
      <c r="F790" s="57"/>
      <c r="G790" s="57"/>
      <c r="H790" s="57"/>
      <c r="I790" s="57"/>
      <c r="J790" s="57"/>
      <c r="K790" s="57"/>
      <c r="L790" s="57"/>
    </row>
    <row r="791" spans="1:12" x14ac:dyDescent="0.25">
      <c r="A791" s="57"/>
      <c r="B791" s="57"/>
      <c r="C791" s="57"/>
      <c r="D791" s="57"/>
      <c r="E791" s="57"/>
      <c r="F791" s="57"/>
      <c r="G791" s="57"/>
      <c r="H791" s="57"/>
      <c r="I791" s="57"/>
      <c r="J791" s="57"/>
      <c r="K791" s="57"/>
      <c r="L791" s="57"/>
    </row>
    <row r="792" spans="1:12" x14ac:dyDescent="0.25">
      <c r="A792" s="57"/>
      <c r="B792" s="57"/>
      <c r="C792" s="57"/>
      <c r="D792" s="57"/>
      <c r="E792" s="57"/>
      <c r="F792" s="57"/>
      <c r="G792" s="57"/>
      <c r="H792" s="57"/>
      <c r="I792" s="57"/>
      <c r="J792" s="57"/>
      <c r="K792" s="57"/>
      <c r="L792" s="57"/>
    </row>
    <row r="793" spans="1:12" x14ac:dyDescent="0.25">
      <c r="A793" s="57"/>
      <c r="B793" s="57"/>
      <c r="C793" s="57"/>
      <c r="D793" s="57"/>
      <c r="E793" s="57"/>
      <c r="F793" s="57"/>
      <c r="G793" s="57"/>
      <c r="H793" s="57"/>
      <c r="I793" s="57"/>
      <c r="J793" s="57"/>
      <c r="K793" s="57"/>
      <c r="L793" s="57"/>
    </row>
    <row r="794" spans="1:12" x14ac:dyDescent="0.25">
      <c r="A794" s="57"/>
      <c r="B794" s="57"/>
      <c r="C794" s="57"/>
      <c r="D794" s="57"/>
      <c r="E794" s="57"/>
      <c r="F794" s="57"/>
      <c r="G794" s="57"/>
      <c r="H794" s="57"/>
      <c r="I794" s="57"/>
      <c r="J794" s="57"/>
      <c r="K794" s="57"/>
      <c r="L794" s="57"/>
    </row>
    <row r="795" spans="1:12" x14ac:dyDescent="0.25">
      <c r="A795" s="57"/>
      <c r="B795" s="57"/>
      <c r="C795" s="57"/>
      <c r="D795" s="57"/>
      <c r="E795" s="57"/>
      <c r="F795" s="57"/>
      <c r="G795" s="57"/>
      <c r="H795" s="57"/>
      <c r="I795" s="57"/>
      <c r="J795" s="57"/>
      <c r="K795" s="57"/>
      <c r="L795" s="57"/>
    </row>
    <row r="796" spans="1:12" x14ac:dyDescent="0.25">
      <c r="A796" s="57"/>
      <c r="B796" s="57"/>
      <c r="C796" s="57"/>
      <c r="D796" s="57"/>
      <c r="E796" s="57"/>
      <c r="F796" s="57"/>
      <c r="G796" s="57"/>
      <c r="H796" s="57"/>
      <c r="I796" s="57"/>
      <c r="J796" s="57"/>
      <c r="K796" s="57"/>
      <c r="L796" s="57"/>
    </row>
    <row r="797" spans="1:12" x14ac:dyDescent="0.25">
      <c r="A797" s="57"/>
      <c r="B797" s="57"/>
      <c r="C797" s="57"/>
      <c r="D797" s="57"/>
      <c r="E797" s="57"/>
      <c r="F797" s="57"/>
      <c r="G797" s="57"/>
      <c r="H797" s="57"/>
      <c r="I797" s="57"/>
      <c r="J797" s="57"/>
      <c r="K797" s="57"/>
      <c r="L797" s="57"/>
    </row>
    <row r="798" spans="1:12" x14ac:dyDescent="0.25">
      <c r="A798" s="57"/>
      <c r="B798" s="57"/>
      <c r="C798" s="57"/>
      <c r="D798" s="57"/>
      <c r="E798" s="57"/>
      <c r="F798" s="57"/>
      <c r="G798" s="57"/>
      <c r="H798" s="57"/>
      <c r="I798" s="57"/>
      <c r="J798" s="57"/>
      <c r="K798" s="57"/>
      <c r="L798" s="57"/>
    </row>
    <row r="799" spans="1:12" x14ac:dyDescent="0.25">
      <c r="A799" s="57"/>
      <c r="B799" s="57"/>
      <c r="C799" s="57"/>
      <c r="D799" s="57"/>
      <c r="E799" s="57"/>
      <c r="F799" s="57"/>
      <c r="G799" s="57"/>
      <c r="H799" s="57"/>
      <c r="I799" s="57"/>
      <c r="J799" s="57"/>
      <c r="K799" s="57"/>
      <c r="L799" s="57"/>
    </row>
    <row r="800" spans="1:12" x14ac:dyDescent="0.25">
      <c r="A800" s="57"/>
      <c r="B800" s="57"/>
      <c r="C800" s="57"/>
      <c r="D800" s="57"/>
      <c r="E800" s="57"/>
      <c r="F800" s="57"/>
      <c r="G800" s="57"/>
      <c r="H800" s="57"/>
      <c r="I800" s="57"/>
      <c r="J800" s="57"/>
      <c r="K800" s="57"/>
      <c r="L800" s="57"/>
    </row>
    <row r="801" spans="1:12" x14ac:dyDescent="0.25">
      <c r="A801" s="57"/>
      <c r="B801" s="57"/>
      <c r="C801" s="57"/>
      <c r="D801" s="57"/>
      <c r="E801" s="57"/>
      <c r="F801" s="57"/>
      <c r="G801" s="57"/>
      <c r="H801" s="57"/>
      <c r="I801" s="57"/>
      <c r="J801" s="57"/>
      <c r="K801" s="57"/>
      <c r="L801" s="57"/>
    </row>
    <row r="802" spans="1:12" x14ac:dyDescent="0.25">
      <c r="A802" s="57"/>
      <c r="B802" s="57"/>
      <c r="C802" s="57"/>
      <c r="D802" s="57"/>
      <c r="E802" s="57"/>
      <c r="F802" s="57"/>
      <c r="G802" s="57"/>
      <c r="H802" s="57"/>
      <c r="I802" s="57"/>
      <c r="J802" s="57"/>
      <c r="K802" s="57"/>
      <c r="L802" s="57"/>
    </row>
    <row r="803" spans="1:12" x14ac:dyDescent="0.25">
      <c r="A803" s="57"/>
      <c r="B803" s="57"/>
      <c r="C803" s="57"/>
      <c r="D803" s="57"/>
      <c r="E803" s="57"/>
      <c r="F803" s="57"/>
      <c r="G803" s="57"/>
      <c r="H803" s="57"/>
      <c r="I803" s="57"/>
      <c r="J803" s="57"/>
      <c r="K803" s="57"/>
      <c r="L803" s="57"/>
    </row>
    <row r="804" spans="1:12" x14ac:dyDescent="0.25">
      <c r="A804" s="57"/>
      <c r="B804" s="57"/>
      <c r="C804" s="57"/>
      <c r="D804" s="57"/>
      <c r="E804" s="57"/>
      <c r="F804" s="57"/>
      <c r="G804" s="57"/>
      <c r="H804" s="57"/>
      <c r="I804" s="57"/>
      <c r="J804" s="57"/>
      <c r="K804" s="57"/>
      <c r="L804" s="57"/>
    </row>
    <row r="805" spans="1:12" x14ac:dyDescent="0.25">
      <c r="A805" s="57"/>
      <c r="B805" s="57"/>
      <c r="C805" s="57"/>
      <c r="D805" s="57"/>
      <c r="E805" s="57"/>
      <c r="F805" s="57"/>
      <c r="G805" s="57"/>
      <c r="H805" s="57"/>
      <c r="I805" s="57"/>
      <c r="J805" s="57"/>
      <c r="K805" s="57"/>
      <c r="L805" s="57"/>
    </row>
    <row r="806" spans="1:12" x14ac:dyDescent="0.25">
      <c r="A806" s="57"/>
      <c r="B806" s="57"/>
      <c r="C806" s="57"/>
      <c r="D806" s="57"/>
      <c r="E806" s="57"/>
      <c r="F806" s="57"/>
      <c r="G806" s="57"/>
      <c r="H806" s="57"/>
      <c r="I806" s="57"/>
      <c r="J806" s="57"/>
      <c r="K806" s="57"/>
      <c r="L806" s="57"/>
    </row>
    <row r="807" spans="1:12" x14ac:dyDescent="0.25">
      <c r="A807" s="57"/>
      <c r="B807" s="57"/>
      <c r="C807" s="57"/>
      <c r="D807" s="57"/>
      <c r="E807" s="57"/>
      <c r="F807" s="57"/>
      <c r="G807" s="57"/>
      <c r="H807" s="57"/>
      <c r="I807" s="57"/>
      <c r="J807" s="57"/>
      <c r="K807" s="57"/>
      <c r="L807" s="57"/>
    </row>
    <row r="808" spans="1:12" x14ac:dyDescent="0.25">
      <c r="A808" s="57"/>
      <c r="B808" s="57"/>
      <c r="C808" s="57"/>
      <c r="D808" s="57"/>
      <c r="E808" s="57"/>
      <c r="F808" s="57"/>
      <c r="G808" s="57"/>
      <c r="H808" s="57"/>
      <c r="I808" s="57"/>
      <c r="J808" s="57"/>
      <c r="K808" s="57"/>
      <c r="L808" s="57"/>
    </row>
    <row r="809" spans="1:12" x14ac:dyDescent="0.25">
      <c r="A809" s="57"/>
      <c r="B809" s="57"/>
      <c r="C809" s="57"/>
      <c r="D809" s="57"/>
      <c r="E809" s="57"/>
      <c r="F809" s="57"/>
      <c r="G809" s="57"/>
      <c r="H809" s="57"/>
      <c r="I809" s="57"/>
      <c r="J809" s="57"/>
      <c r="K809" s="57"/>
      <c r="L809" s="57"/>
    </row>
    <row r="810" spans="1:12" x14ac:dyDescent="0.25">
      <c r="A810" s="57"/>
      <c r="B810" s="57"/>
      <c r="C810" s="57"/>
      <c r="D810" s="57"/>
      <c r="E810" s="57"/>
      <c r="F810" s="57"/>
      <c r="G810" s="57"/>
      <c r="H810" s="57"/>
      <c r="I810" s="57"/>
      <c r="J810" s="57"/>
      <c r="K810" s="57"/>
      <c r="L810" s="57"/>
    </row>
    <row r="811" spans="1:12" x14ac:dyDescent="0.25">
      <c r="A811" s="57"/>
      <c r="B811" s="57"/>
      <c r="C811" s="57"/>
      <c r="D811" s="57"/>
      <c r="E811" s="57"/>
      <c r="F811" s="57"/>
      <c r="G811" s="57"/>
      <c r="H811" s="57"/>
      <c r="I811" s="57"/>
      <c r="J811" s="57"/>
      <c r="K811" s="57"/>
      <c r="L811" s="57"/>
    </row>
    <row r="812" spans="1:12" x14ac:dyDescent="0.25">
      <c r="A812" s="57"/>
      <c r="B812" s="57"/>
      <c r="C812" s="57"/>
      <c r="D812" s="57"/>
      <c r="E812" s="57"/>
      <c r="F812" s="57"/>
      <c r="G812" s="57"/>
      <c r="H812" s="57"/>
      <c r="I812" s="57"/>
      <c r="J812" s="57"/>
      <c r="K812" s="57"/>
      <c r="L812" s="57"/>
    </row>
    <row r="813" spans="1:12" x14ac:dyDescent="0.25">
      <c r="A813" s="57"/>
      <c r="B813" s="57"/>
      <c r="C813" s="57"/>
      <c r="D813" s="57"/>
      <c r="E813" s="57"/>
      <c r="F813" s="57"/>
      <c r="G813" s="57"/>
      <c r="H813" s="57"/>
      <c r="I813" s="57"/>
      <c r="J813" s="57"/>
      <c r="K813" s="57"/>
      <c r="L813" s="57"/>
    </row>
    <row r="814" spans="1:12" x14ac:dyDescent="0.25">
      <c r="A814" s="57"/>
      <c r="B814" s="57"/>
      <c r="C814" s="57"/>
      <c r="D814" s="57"/>
      <c r="E814" s="57"/>
      <c r="F814" s="57"/>
      <c r="G814" s="57"/>
      <c r="H814" s="57"/>
      <c r="I814" s="57"/>
      <c r="J814" s="57"/>
      <c r="K814" s="57"/>
      <c r="L814" s="57"/>
    </row>
    <row r="815" spans="1:12" x14ac:dyDescent="0.25">
      <c r="A815" s="57"/>
      <c r="B815" s="57"/>
      <c r="C815" s="57"/>
      <c r="D815" s="57"/>
      <c r="E815" s="57"/>
      <c r="F815" s="57"/>
      <c r="G815" s="57"/>
      <c r="H815" s="57"/>
      <c r="I815" s="57"/>
      <c r="J815" s="57"/>
      <c r="K815" s="57"/>
      <c r="L815" s="57"/>
    </row>
    <row r="816" spans="1:12" x14ac:dyDescent="0.25">
      <c r="A816" s="57"/>
      <c r="B816" s="57"/>
      <c r="C816" s="57"/>
      <c r="D816" s="57"/>
      <c r="E816" s="57"/>
      <c r="F816" s="57"/>
      <c r="G816" s="57"/>
      <c r="H816" s="57"/>
      <c r="I816" s="57"/>
      <c r="J816" s="57"/>
      <c r="K816" s="57"/>
      <c r="L816" s="57"/>
    </row>
    <row r="817" spans="1:12" x14ac:dyDescent="0.25">
      <c r="A817" s="57"/>
      <c r="B817" s="57"/>
      <c r="C817" s="57"/>
      <c r="D817" s="57"/>
      <c r="E817" s="57"/>
      <c r="F817" s="57"/>
      <c r="G817" s="57"/>
      <c r="H817" s="57"/>
      <c r="I817" s="57"/>
      <c r="J817" s="57"/>
      <c r="K817" s="57"/>
      <c r="L817" s="57"/>
    </row>
    <row r="818" spans="1:12" x14ac:dyDescent="0.25">
      <c r="A818" s="57"/>
      <c r="B818" s="57"/>
      <c r="C818" s="57"/>
      <c r="D818" s="57"/>
      <c r="E818" s="57"/>
      <c r="F818" s="57"/>
      <c r="G818" s="57"/>
      <c r="H818" s="57"/>
      <c r="I818" s="57"/>
      <c r="J818" s="57"/>
      <c r="K818" s="57"/>
      <c r="L818" s="57"/>
    </row>
    <row r="819" spans="1:12" x14ac:dyDescent="0.25">
      <c r="A819" s="57"/>
      <c r="B819" s="57"/>
      <c r="C819" s="57"/>
      <c r="D819" s="57"/>
      <c r="E819" s="57"/>
      <c r="F819" s="57"/>
      <c r="G819" s="57"/>
      <c r="H819" s="57"/>
      <c r="I819" s="57"/>
      <c r="J819" s="57"/>
      <c r="K819" s="57"/>
      <c r="L819" s="57"/>
    </row>
    <row r="820" spans="1:12" x14ac:dyDescent="0.25">
      <c r="A820" s="57"/>
      <c r="B820" s="57"/>
      <c r="C820" s="57"/>
      <c r="D820" s="57"/>
      <c r="E820" s="57"/>
      <c r="F820" s="57"/>
      <c r="G820" s="57"/>
      <c r="H820" s="57"/>
      <c r="I820" s="57"/>
      <c r="J820" s="57"/>
      <c r="K820" s="57"/>
      <c r="L820" s="57"/>
    </row>
    <row r="821" spans="1:12" x14ac:dyDescent="0.25">
      <c r="A821" s="57"/>
      <c r="B821" s="57"/>
      <c r="C821" s="57"/>
      <c r="D821" s="57"/>
      <c r="E821" s="57"/>
      <c r="F821" s="57"/>
      <c r="G821" s="57"/>
      <c r="H821" s="57"/>
      <c r="I821" s="57"/>
      <c r="J821" s="57"/>
      <c r="K821" s="57"/>
      <c r="L821" s="57"/>
    </row>
    <row r="822" spans="1:12" x14ac:dyDescent="0.25">
      <c r="A822" s="57"/>
      <c r="B822" s="57"/>
      <c r="C822" s="57"/>
      <c r="D822" s="57"/>
      <c r="E822" s="57"/>
      <c r="F822" s="57"/>
      <c r="G822" s="57"/>
      <c r="H822" s="57"/>
      <c r="I822" s="57"/>
      <c r="J822" s="57"/>
      <c r="K822" s="57"/>
      <c r="L822" s="57"/>
    </row>
    <row r="823" spans="1:12" x14ac:dyDescent="0.25">
      <c r="A823" s="57"/>
      <c r="B823" s="57"/>
      <c r="C823" s="57"/>
      <c r="D823" s="57"/>
      <c r="E823" s="57"/>
      <c r="F823" s="57"/>
      <c r="G823" s="57"/>
      <c r="H823" s="57"/>
      <c r="I823" s="57"/>
      <c r="J823" s="57"/>
      <c r="K823" s="57"/>
      <c r="L823" s="57"/>
    </row>
    <row r="824" spans="1:12" x14ac:dyDescent="0.25">
      <c r="A824" s="57"/>
      <c r="B824" s="57"/>
      <c r="C824" s="57"/>
      <c r="D824" s="57"/>
      <c r="E824" s="57"/>
      <c r="F824" s="57"/>
      <c r="G824" s="57"/>
      <c r="H824" s="57"/>
      <c r="I824" s="57"/>
      <c r="J824" s="57"/>
      <c r="K824" s="57"/>
      <c r="L824" s="57"/>
    </row>
    <row r="825" spans="1:12" x14ac:dyDescent="0.25">
      <c r="A825" s="57"/>
      <c r="B825" s="57"/>
      <c r="C825" s="57"/>
      <c r="D825" s="57"/>
      <c r="E825" s="57"/>
      <c r="F825" s="57"/>
      <c r="G825" s="57"/>
      <c r="H825" s="57"/>
      <c r="I825" s="57"/>
      <c r="J825" s="57"/>
      <c r="K825" s="57"/>
      <c r="L825" s="57"/>
    </row>
    <row r="826" spans="1:12" x14ac:dyDescent="0.25">
      <c r="A826" s="57"/>
      <c r="B826" s="57"/>
      <c r="C826" s="57"/>
      <c r="D826" s="57"/>
      <c r="E826" s="57"/>
      <c r="F826" s="57"/>
      <c r="G826" s="57"/>
      <c r="H826" s="57"/>
      <c r="I826" s="57"/>
      <c r="J826" s="57"/>
      <c r="K826" s="57"/>
      <c r="L826" s="57"/>
    </row>
    <row r="827" spans="1:12" x14ac:dyDescent="0.25">
      <c r="A827" s="57"/>
      <c r="B827" s="57"/>
      <c r="C827" s="57"/>
      <c r="D827" s="57"/>
      <c r="E827" s="57"/>
      <c r="F827" s="57"/>
      <c r="G827" s="57"/>
      <c r="H827" s="57"/>
      <c r="I827" s="57"/>
      <c r="J827" s="57"/>
      <c r="K827" s="57"/>
      <c r="L827" s="57"/>
    </row>
    <row r="828" spans="1:12" x14ac:dyDescent="0.25">
      <c r="A828" s="57"/>
      <c r="B828" s="57"/>
      <c r="C828" s="57"/>
      <c r="D828" s="57"/>
      <c r="E828" s="57"/>
      <c r="F828" s="57"/>
      <c r="G828" s="57"/>
      <c r="H828" s="57"/>
      <c r="I828" s="57"/>
      <c r="J828" s="57"/>
      <c r="K828" s="57"/>
      <c r="L828" s="57"/>
    </row>
    <row r="829" spans="1:12" x14ac:dyDescent="0.25">
      <c r="A829" s="57"/>
      <c r="B829" s="57"/>
      <c r="C829" s="57"/>
      <c r="D829" s="57"/>
      <c r="E829" s="57"/>
      <c r="F829" s="57"/>
      <c r="G829" s="57"/>
      <c r="H829" s="57"/>
      <c r="I829" s="57"/>
      <c r="J829" s="57"/>
      <c r="K829" s="57"/>
      <c r="L829" s="57"/>
    </row>
    <row r="830" spans="1:12" x14ac:dyDescent="0.25">
      <c r="A830" s="57"/>
      <c r="B830" s="57"/>
      <c r="C830" s="57"/>
      <c r="D830" s="57"/>
      <c r="E830" s="57"/>
      <c r="F830" s="57"/>
      <c r="G830" s="57"/>
      <c r="H830" s="57"/>
      <c r="I830" s="57"/>
      <c r="J830" s="57"/>
      <c r="K830" s="57"/>
      <c r="L830" s="57"/>
    </row>
    <row r="831" spans="1:12" x14ac:dyDescent="0.25">
      <c r="A831" s="57"/>
      <c r="B831" s="57"/>
      <c r="C831" s="57"/>
      <c r="D831" s="57"/>
      <c r="E831" s="57"/>
      <c r="F831" s="57"/>
      <c r="G831" s="57"/>
      <c r="H831" s="57"/>
      <c r="I831" s="57"/>
      <c r="J831" s="57"/>
      <c r="K831" s="57"/>
      <c r="L831" s="57"/>
    </row>
    <row r="832" spans="1:12" x14ac:dyDescent="0.25">
      <c r="A832" s="57"/>
      <c r="B832" s="57"/>
      <c r="C832" s="57"/>
      <c r="D832" s="57"/>
      <c r="E832" s="57"/>
      <c r="F832" s="57"/>
      <c r="G832" s="57"/>
      <c r="H832" s="57"/>
      <c r="I832" s="57"/>
      <c r="J832" s="57"/>
      <c r="K832" s="57"/>
      <c r="L832" s="57"/>
    </row>
    <row r="833" spans="1:12" x14ac:dyDescent="0.25">
      <c r="A833" s="57"/>
      <c r="B833" s="57"/>
      <c r="C833" s="57"/>
      <c r="D833" s="57"/>
      <c r="E833" s="57"/>
      <c r="F833" s="57"/>
      <c r="G833" s="57"/>
      <c r="H833" s="57"/>
      <c r="I833" s="57"/>
      <c r="J833" s="57"/>
      <c r="K833" s="57"/>
      <c r="L833" s="57"/>
    </row>
    <row r="834" spans="1:12" x14ac:dyDescent="0.25">
      <c r="A834" s="57"/>
      <c r="B834" s="57"/>
      <c r="C834" s="57"/>
      <c r="D834" s="57"/>
      <c r="E834" s="57"/>
      <c r="F834" s="57"/>
      <c r="G834" s="57"/>
      <c r="H834" s="57"/>
      <c r="I834" s="57"/>
      <c r="J834" s="57"/>
      <c r="K834" s="57"/>
      <c r="L834" s="57"/>
    </row>
    <row r="835" spans="1:12" x14ac:dyDescent="0.25">
      <c r="A835" s="57"/>
      <c r="B835" s="57"/>
      <c r="C835" s="57"/>
      <c r="D835" s="57"/>
      <c r="E835" s="57"/>
      <c r="F835" s="57"/>
      <c r="G835" s="57"/>
      <c r="H835" s="57"/>
      <c r="I835" s="57"/>
      <c r="J835" s="57"/>
      <c r="K835" s="57"/>
      <c r="L835" s="57"/>
    </row>
    <row r="836" spans="1:12" x14ac:dyDescent="0.25">
      <c r="A836" s="57"/>
      <c r="B836" s="57"/>
      <c r="C836" s="57"/>
      <c r="D836" s="57"/>
      <c r="E836" s="57"/>
      <c r="F836" s="57"/>
      <c r="G836" s="57"/>
      <c r="H836" s="57"/>
      <c r="I836" s="57"/>
      <c r="J836" s="57"/>
      <c r="K836" s="57"/>
      <c r="L836" s="57"/>
    </row>
    <row r="837" spans="1:12" x14ac:dyDescent="0.25">
      <c r="A837" s="57"/>
      <c r="B837" s="57"/>
      <c r="C837" s="57"/>
      <c r="D837" s="57"/>
      <c r="E837" s="57"/>
      <c r="F837" s="57"/>
      <c r="G837" s="57"/>
      <c r="H837" s="57"/>
      <c r="I837" s="57"/>
      <c r="J837" s="57"/>
      <c r="K837" s="57"/>
      <c r="L837" s="57"/>
    </row>
    <row r="838" spans="1:12" x14ac:dyDescent="0.25">
      <c r="A838" s="57"/>
      <c r="B838" s="57"/>
      <c r="C838" s="57"/>
      <c r="D838" s="57"/>
      <c r="E838" s="57"/>
      <c r="F838" s="57"/>
      <c r="G838" s="57"/>
      <c r="H838" s="57"/>
      <c r="I838" s="57"/>
      <c r="J838" s="57"/>
      <c r="K838" s="57"/>
      <c r="L838" s="57"/>
    </row>
    <row r="839" spans="1:12" x14ac:dyDescent="0.25">
      <c r="A839" s="57"/>
      <c r="B839" s="57"/>
      <c r="C839" s="57"/>
      <c r="D839" s="57"/>
      <c r="E839" s="57"/>
      <c r="F839" s="57"/>
      <c r="G839" s="57"/>
      <c r="H839" s="57"/>
      <c r="I839" s="57"/>
      <c r="J839" s="57"/>
      <c r="K839" s="57"/>
      <c r="L839" s="57"/>
    </row>
    <row r="840" spans="1:12" x14ac:dyDescent="0.25">
      <c r="A840" s="57"/>
      <c r="B840" s="57"/>
      <c r="C840" s="57"/>
      <c r="D840" s="57"/>
      <c r="E840" s="57"/>
      <c r="F840" s="57"/>
      <c r="G840" s="57"/>
      <c r="H840" s="57"/>
      <c r="I840" s="57"/>
      <c r="J840" s="57"/>
      <c r="K840" s="57"/>
      <c r="L840" s="57"/>
    </row>
    <row r="841" spans="1:12" x14ac:dyDescent="0.25">
      <c r="A841" s="57"/>
      <c r="B841" s="57"/>
      <c r="C841" s="57"/>
      <c r="D841" s="57"/>
      <c r="E841" s="57"/>
      <c r="F841" s="57"/>
      <c r="G841" s="57"/>
      <c r="H841" s="57"/>
      <c r="I841" s="57"/>
      <c r="J841" s="57"/>
      <c r="K841" s="57"/>
      <c r="L841" s="57"/>
    </row>
    <row r="842" spans="1:12" x14ac:dyDescent="0.25">
      <c r="A842" s="57"/>
      <c r="B842" s="57"/>
      <c r="C842" s="57"/>
      <c r="D842" s="57"/>
      <c r="E842" s="57"/>
      <c r="F842" s="57"/>
      <c r="G842" s="57"/>
      <c r="H842" s="57"/>
      <c r="I842" s="57"/>
      <c r="J842" s="57"/>
      <c r="K842" s="57"/>
      <c r="L842" s="57"/>
    </row>
    <row r="843" spans="1:12" x14ac:dyDescent="0.25">
      <c r="A843" s="57"/>
      <c r="B843" s="57"/>
      <c r="C843" s="57"/>
      <c r="D843" s="57"/>
      <c r="E843" s="57"/>
      <c r="F843" s="57"/>
      <c r="G843" s="57"/>
      <c r="H843" s="57"/>
      <c r="I843" s="57"/>
      <c r="J843" s="57"/>
      <c r="K843" s="57"/>
      <c r="L843" s="57"/>
    </row>
    <row r="844" spans="1:12" x14ac:dyDescent="0.25">
      <c r="A844" s="57"/>
      <c r="B844" s="57"/>
      <c r="C844" s="57"/>
      <c r="D844" s="57"/>
      <c r="E844" s="57"/>
      <c r="F844" s="57"/>
      <c r="G844" s="57"/>
      <c r="H844" s="57"/>
      <c r="I844" s="57"/>
      <c r="J844" s="57"/>
      <c r="K844" s="57"/>
      <c r="L844" s="57"/>
    </row>
    <row r="845" spans="1:12" x14ac:dyDescent="0.25">
      <c r="A845" s="57"/>
      <c r="B845" s="57"/>
      <c r="C845" s="57"/>
      <c r="D845" s="57"/>
      <c r="E845" s="57"/>
      <c r="F845" s="57"/>
      <c r="G845" s="57"/>
      <c r="H845" s="57"/>
      <c r="I845" s="57"/>
      <c r="J845" s="57"/>
      <c r="K845" s="57"/>
      <c r="L845" s="57"/>
    </row>
    <row r="846" spans="1:12" x14ac:dyDescent="0.25">
      <c r="A846" s="57"/>
      <c r="B846" s="57"/>
      <c r="C846" s="57"/>
      <c r="D846" s="57"/>
      <c r="E846" s="57"/>
      <c r="F846" s="57"/>
      <c r="G846" s="57"/>
      <c r="H846" s="57"/>
      <c r="I846" s="57"/>
      <c r="J846" s="57"/>
      <c r="K846" s="57"/>
      <c r="L846" s="57"/>
    </row>
    <row r="847" spans="1:12" x14ac:dyDescent="0.25">
      <c r="A847" s="57"/>
      <c r="B847" s="57"/>
      <c r="C847" s="57"/>
      <c r="D847" s="57"/>
      <c r="E847" s="57"/>
      <c r="F847" s="57"/>
      <c r="G847" s="57"/>
      <c r="H847" s="57"/>
      <c r="I847" s="57"/>
      <c r="J847" s="57"/>
      <c r="K847" s="57"/>
      <c r="L847" s="57"/>
    </row>
    <row r="848" spans="1:12" x14ac:dyDescent="0.25">
      <c r="A848" s="57"/>
      <c r="B848" s="57"/>
      <c r="C848" s="57"/>
      <c r="D848" s="57"/>
      <c r="E848" s="57"/>
      <c r="F848" s="57"/>
      <c r="G848" s="57"/>
      <c r="H848" s="57"/>
      <c r="I848" s="57"/>
      <c r="J848" s="57"/>
      <c r="K848" s="57"/>
      <c r="L848" s="57"/>
    </row>
    <row r="849" spans="1:12" x14ac:dyDescent="0.25">
      <c r="A849" s="57"/>
      <c r="B849" s="57"/>
      <c r="C849" s="57"/>
      <c r="D849" s="57"/>
      <c r="E849" s="57"/>
      <c r="F849" s="57"/>
      <c r="G849" s="57"/>
      <c r="H849" s="57"/>
      <c r="I849" s="57"/>
      <c r="J849" s="57"/>
      <c r="K849" s="57"/>
      <c r="L849" s="57"/>
    </row>
    <row r="850" spans="1:12" x14ac:dyDescent="0.25">
      <c r="A850" s="57"/>
      <c r="B850" s="57"/>
      <c r="C850" s="57"/>
      <c r="D850" s="57"/>
      <c r="E850" s="57"/>
      <c r="F850" s="57"/>
      <c r="G850" s="57"/>
      <c r="H850" s="57"/>
      <c r="I850" s="57"/>
      <c r="J850" s="57"/>
      <c r="K850" s="57"/>
      <c r="L850" s="57"/>
    </row>
    <row r="851" spans="1:12" x14ac:dyDescent="0.25">
      <c r="A851" s="57"/>
      <c r="B851" s="57"/>
      <c r="C851" s="57"/>
      <c r="D851" s="57"/>
      <c r="E851" s="57"/>
      <c r="F851" s="57"/>
      <c r="G851" s="57"/>
      <c r="H851" s="57"/>
      <c r="I851" s="57"/>
      <c r="J851" s="57"/>
      <c r="K851" s="57"/>
      <c r="L851" s="57"/>
    </row>
    <row r="852" spans="1:12" x14ac:dyDescent="0.25">
      <c r="A852" s="57"/>
      <c r="B852" s="57"/>
      <c r="C852" s="57"/>
      <c r="D852" s="57"/>
      <c r="E852" s="57"/>
      <c r="F852" s="57"/>
      <c r="G852" s="57"/>
      <c r="H852" s="57"/>
      <c r="I852" s="57"/>
      <c r="J852" s="57"/>
      <c r="K852" s="57"/>
      <c r="L852" s="57"/>
    </row>
    <row r="853" spans="1:12" x14ac:dyDescent="0.25">
      <c r="A853" s="57"/>
      <c r="B853" s="57"/>
      <c r="C853" s="57"/>
      <c r="D853" s="57"/>
      <c r="E853" s="57"/>
      <c r="F853" s="57"/>
      <c r="G853" s="57"/>
      <c r="H853" s="57"/>
      <c r="I853" s="57"/>
      <c r="J853" s="57"/>
      <c r="K853" s="57"/>
      <c r="L853" s="57"/>
    </row>
    <row r="854" spans="1:12" x14ac:dyDescent="0.25">
      <c r="A854" s="57"/>
      <c r="B854" s="57"/>
      <c r="C854" s="57"/>
      <c r="D854" s="57"/>
      <c r="E854" s="57"/>
      <c r="F854" s="57"/>
      <c r="G854" s="57"/>
      <c r="H854" s="57"/>
      <c r="I854" s="57"/>
      <c r="J854" s="57"/>
      <c r="K854" s="57"/>
      <c r="L854" s="57"/>
    </row>
    <row r="855" spans="1:12" x14ac:dyDescent="0.25">
      <c r="A855" s="57"/>
      <c r="B855" s="57"/>
      <c r="C855" s="57"/>
      <c r="D855" s="57"/>
      <c r="E855" s="57"/>
      <c r="F855" s="57"/>
      <c r="G855" s="57"/>
      <c r="H855" s="57"/>
      <c r="I855" s="57"/>
      <c r="J855" s="57"/>
      <c r="K855" s="57"/>
      <c r="L855" s="57"/>
    </row>
    <row r="856" spans="1:12" x14ac:dyDescent="0.25">
      <c r="A856" s="57"/>
      <c r="B856" s="57"/>
      <c r="C856" s="57"/>
      <c r="D856" s="57"/>
      <c r="E856" s="57"/>
      <c r="F856" s="57"/>
      <c r="G856" s="57"/>
      <c r="H856" s="57"/>
      <c r="I856" s="57"/>
      <c r="J856" s="57"/>
      <c r="K856" s="57"/>
      <c r="L856" s="57"/>
    </row>
    <row r="857" spans="1:12" x14ac:dyDescent="0.25">
      <c r="A857" s="57"/>
      <c r="B857" s="57"/>
      <c r="C857" s="57"/>
      <c r="D857" s="57"/>
      <c r="E857" s="57"/>
      <c r="F857" s="57"/>
      <c r="G857" s="57"/>
      <c r="H857" s="57"/>
      <c r="I857" s="57"/>
      <c r="J857" s="57"/>
      <c r="K857" s="57"/>
      <c r="L857" s="57"/>
    </row>
    <row r="858" spans="1:12" x14ac:dyDescent="0.25">
      <c r="A858" s="57"/>
      <c r="B858" s="57"/>
      <c r="C858" s="57"/>
      <c r="D858" s="57"/>
      <c r="E858" s="57"/>
      <c r="F858" s="57"/>
      <c r="G858" s="57"/>
      <c r="H858" s="57"/>
      <c r="I858" s="57"/>
      <c r="J858" s="57"/>
      <c r="K858" s="57"/>
      <c r="L858" s="57"/>
    </row>
    <row r="859" spans="1:12" x14ac:dyDescent="0.25">
      <c r="A859" s="57"/>
      <c r="B859" s="57"/>
      <c r="C859" s="57"/>
      <c r="D859" s="57"/>
      <c r="E859" s="57"/>
      <c r="F859" s="57"/>
      <c r="G859" s="57"/>
      <c r="H859" s="57"/>
      <c r="I859" s="57"/>
      <c r="J859" s="57"/>
      <c r="K859" s="57"/>
      <c r="L859" s="57"/>
    </row>
    <row r="860" spans="1:12" x14ac:dyDescent="0.25">
      <c r="A860" s="57"/>
      <c r="B860" s="57"/>
      <c r="C860" s="57"/>
      <c r="D860" s="57"/>
      <c r="E860" s="57"/>
      <c r="F860" s="57"/>
      <c r="G860" s="57"/>
      <c r="H860" s="57"/>
      <c r="I860" s="57"/>
      <c r="J860" s="57"/>
      <c r="K860" s="57"/>
      <c r="L860" s="57"/>
    </row>
    <row r="861" spans="1:12" x14ac:dyDescent="0.25">
      <c r="A861" s="57"/>
      <c r="B861" s="57"/>
      <c r="C861" s="57"/>
      <c r="D861" s="57"/>
      <c r="E861" s="57"/>
      <c r="F861" s="57"/>
      <c r="G861" s="57"/>
      <c r="H861" s="57"/>
      <c r="I861" s="57"/>
      <c r="J861" s="57"/>
      <c r="K861" s="57"/>
      <c r="L861" s="57"/>
    </row>
    <row r="862" spans="1:12" x14ac:dyDescent="0.25">
      <c r="A862" s="57"/>
      <c r="B862" s="57"/>
      <c r="C862" s="57"/>
      <c r="D862" s="57"/>
      <c r="E862" s="57"/>
      <c r="F862" s="57"/>
      <c r="G862" s="57"/>
      <c r="H862" s="57"/>
      <c r="I862" s="57"/>
      <c r="J862" s="57"/>
      <c r="K862" s="57"/>
      <c r="L862" s="57"/>
    </row>
    <row r="863" spans="1:12" x14ac:dyDescent="0.25">
      <c r="A863" s="57"/>
      <c r="B863" s="57"/>
      <c r="C863" s="57"/>
      <c r="D863" s="57"/>
      <c r="E863" s="57"/>
      <c r="F863" s="57"/>
      <c r="G863" s="57"/>
      <c r="H863" s="57"/>
      <c r="I863" s="57"/>
      <c r="J863" s="57"/>
      <c r="K863" s="57"/>
      <c r="L863" s="57"/>
    </row>
    <row r="864" spans="1:12" x14ac:dyDescent="0.25">
      <c r="A864" s="57"/>
      <c r="B864" s="57"/>
      <c r="C864" s="57"/>
      <c r="D864" s="57"/>
      <c r="E864" s="57"/>
      <c r="F864" s="57"/>
      <c r="G864" s="57"/>
      <c r="H864" s="57"/>
      <c r="I864" s="57"/>
      <c r="J864" s="57"/>
      <c r="K864" s="57"/>
      <c r="L864" s="57"/>
    </row>
    <row r="865" spans="1:12" x14ac:dyDescent="0.25">
      <c r="A865" s="57"/>
      <c r="B865" s="57"/>
      <c r="C865" s="57"/>
      <c r="D865" s="57"/>
      <c r="E865" s="57"/>
      <c r="F865" s="57"/>
      <c r="G865" s="57"/>
      <c r="H865" s="57"/>
      <c r="I865" s="57"/>
      <c r="J865" s="57"/>
      <c r="K865" s="57"/>
      <c r="L865" s="57"/>
    </row>
    <row r="866" spans="1:12" x14ac:dyDescent="0.25">
      <c r="A866" s="57"/>
      <c r="B866" s="57"/>
      <c r="C866" s="57"/>
      <c r="D866" s="57"/>
      <c r="E866" s="57"/>
      <c r="F866" s="57"/>
      <c r="G866" s="57"/>
      <c r="H866" s="57"/>
      <c r="I866" s="57"/>
      <c r="J866" s="57"/>
      <c r="K866" s="57"/>
      <c r="L866" s="57"/>
    </row>
    <row r="867" spans="1:12" x14ac:dyDescent="0.25">
      <c r="A867" s="57"/>
      <c r="B867" s="57"/>
      <c r="C867" s="57"/>
      <c r="D867" s="57"/>
      <c r="E867" s="57"/>
      <c r="F867" s="57"/>
      <c r="G867" s="57"/>
      <c r="H867" s="57"/>
      <c r="I867" s="57"/>
      <c r="J867" s="57"/>
      <c r="K867" s="57"/>
      <c r="L867" s="57"/>
    </row>
    <row r="868" spans="1:12" x14ac:dyDescent="0.25">
      <c r="A868" s="57"/>
      <c r="B868" s="57"/>
      <c r="C868" s="57"/>
      <c r="D868" s="57"/>
      <c r="E868" s="57"/>
      <c r="F868" s="57"/>
      <c r="G868" s="57"/>
      <c r="H868" s="57"/>
      <c r="I868" s="57"/>
      <c r="J868" s="57"/>
      <c r="K868" s="57"/>
      <c r="L868" s="57"/>
    </row>
    <row r="869" spans="1:12" x14ac:dyDescent="0.25">
      <c r="A869" s="57"/>
      <c r="B869" s="57"/>
      <c r="C869" s="57"/>
      <c r="D869" s="57"/>
      <c r="E869" s="57"/>
      <c r="F869" s="57"/>
      <c r="G869" s="57"/>
      <c r="H869" s="57"/>
      <c r="I869" s="57"/>
      <c r="J869" s="57"/>
      <c r="K869" s="57"/>
      <c r="L869" s="57"/>
    </row>
    <row r="870" spans="1:12" x14ac:dyDescent="0.25">
      <c r="A870" s="57"/>
      <c r="B870" s="57"/>
      <c r="C870" s="57"/>
      <c r="D870" s="57"/>
      <c r="E870" s="57"/>
      <c r="F870" s="57"/>
      <c r="G870" s="57"/>
      <c r="H870" s="57"/>
      <c r="I870" s="57"/>
      <c r="J870" s="57"/>
      <c r="K870" s="57"/>
      <c r="L870" s="57"/>
    </row>
    <row r="871" spans="1:12" x14ac:dyDescent="0.25">
      <c r="A871" s="57"/>
      <c r="B871" s="57"/>
      <c r="C871" s="57"/>
      <c r="D871" s="57"/>
      <c r="E871" s="57"/>
      <c r="F871" s="57"/>
      <c r="G871" s="57"/>
      <c r="H871" s="57"/>
      <c r="I871" s="57"/>
      <c r="J871" s="57"/>
      <c r="K871" s="57"/>
      <c r="L871" s="57"/>
    </row>
    <row r="872" spans="1:12" x14ac:dyDescent="0.25">
      <c r="A872" s="57"/>
      <c r="B872" s="57"/>
      <c r="C872" s="57"/>
      <c r="D872" s="57"/>
      <c r="E872" s="57"/>
      <c r="F872" s="57"/>
      <c r="G872" s="57"/>
      <c r="H872" s="57"/>
      <c r="I872" s="57"/>
      <c r="J872" s="57"/>
      <c r="K872" s="57"/>
      <c r="L872" s="57"/>
    </row>
    <row r="873" spans="1:12" x14ac:dyDescent="0.25">
      <c r="A873" s="57"/>
      <c r="B873" s="57"/>
      <c r="C873" s="57"/>
      <c r="D873" s="57"/>
      <c r="E873" s="57"/>
      <c r="F873" s="57"/>
      <c r="G873" s="57"/>
      <c r="H873" s="57"/>
      <c r="I873" s="57"/>
      <c r="J873" s="57"/>
      <c r="K873" s="57"/>
      <c r="L873" s="57"/>
    </row>
    <row r="874" spans="1:12" x14ac:dyDescent="0.25">
      <c r="A874" s="57"/>
      <c r="B874" s="57"/>
      <c r="C874" s="57"/>
      <c r="D874" s="57"/>
      <c r="E874" s="57"/>
      <c r="F874" s="57"/>
      <c r="G874" s="57"/>
      <c r="H874" s="57"/>
      <c r="I874" s="57"/>
      <c r="J874" s="57"/>
      <c r="K874" s="57"/>
      <c r="L874" s="57"/>
    </row>
    <row r="875" spans="1:12" x14ac:dyDescent="0.25">
      <c r="A875" s="57"/>
      <c r="B875" s="57"/>
      <c r="C875" s="57"/>
      <c r="D875" s="57"/>
      <c r="E875" s="57"/>
      <c r="F875" s="57"/>
      <c r="G875" s="57"/>
      <c r="H875" s="57"/>
      <c r="I875" s="57"/>
      <c r="J875" s="57"/>
      <c r="K875" s="57"/>
      <c r="L875" s="57"/>
    </row>
    <row r="876" spans="1:12" x14ac:dyDescent="0.25">
      <c r="A876" s="57"/>
      <c r="B876" s="57"/>
      <c r="C876" s="57"/>
      <c r="D876" s="57"/>
      <c r="E876" s="57"/>
      <c r="F876" s="57"/>
      <c r="G876" s="57"/>
      <c r="H876" s="57"/>
      <c r="I876" s="57"/>
      <c r="J876" s="57"/>
      <c r="K876" s="57"/>
      <c r="L876" s="57"/>
    </row>
    <row r="877" spans="1:12" x14ac:dyDescent="0.25">
      <c r="A877" s="57"/>
      <c r="B877" s="57"/>
      <c r="C877" s="57"/>
      <c r="D877" s="57"/>
      <c r="E877" s="57"/>
      <c r="F877" s="57"/>
      <c r="G877" s="57"/>
      <c r="H877" s="57"/>
      <c r="I877" s="57"/>
      <c r="J877" s="57"/>
      <c r="K877" s="57"/>
      <c r="L877" s="57"/>
    </row>
    <row r="878" spans="1:12" x14ac:dyDescent="0.25">
      <c r="A878" s="57"/>
      <c r="B878" s="57"/>
      <c r="C878" s="57"/>
      <c r="D878" s="57"/>
      <c r="E878" s="57"/>
      <c r="F878" s="57"/>
      <c r="G878" s="57"/>
      <c r="H878" s="57"/>
      <c r="I878" s="57"/>
      <c r="J878" s="57"/>
      <c r="K878" s="57"/>
      <c r="L878" s="57"/>
    </row>
    <row r="879" spans="1:12" x14ac:dyDescent="0.25">
      <c r="A879" s="57"/>
      <c r="B879" s="57"/>
      <c r="C879" s="57"/>
      <c r="D879" s="57"/>
      <c r="E879" s="57"/>
      <c r="F879" s="57"/>
      <c r="G879" s="57"/>
      <c r="H879" s="57"/>
      <c r="I879" s="57"/>
      <c r="J879" s="57"/>
      <c r="K879" s="57"/>
      <c r="L879" s="57"/>
    </row>
    <row r="880" spans="1:12" x14ac:dyDescent="0.25">
      <c r="A880" s="57"/>
      <c r="B880" s="57"/>
      <c r="C880" s="57"/>
      <c r="D880" s="57"/>
      <c r="E880" s="57"/>
      <c r="F880" s="57"/>
      <c r="G880" s="57"/>
      <c r="H880" s="57"/>
      <c r="I880" s="57"/>
      <c r="J880" s="57"/>
      <c r="K880" s="57"/>
      <c r="L880" s="57"/>
    </row>
    <row r="881" spans="1:12" x14ac:dyDescent="0.25">
      <c r="A881" s="57"/>
      <c r="B881" s="57"/>
      <c r="C881" s="57"/>
      <c r="D881" s="57"/>
      <c r="E881" s="57"/>
      <c r="F881" s="57"/>
      <c r="G881" s="57"/>
      <c r="H881" s="57"/>
      <c r="I881" s="57"/>
      <c r="J881" s="57"/>
      <c r="K881" s="57"/>
      <c r="L881" s="57"/>
    </row>
    <row r="882" spans="1:12" x14ac:dyDescent="0.25">
      <c r="A882" s="57"/>
      <c r="B882" s="57"/>
      <c r="C882" s="57"/>
      <c r="D882" s="57"/>
      <c r="E882" s="57"/>
      <c r="F882" s="57"/>
      <c r="G882" s="57"/>
      <c r="H882" s="57"/>
      <c r="I882" s="57"/>
      <c r="J882" s="57"/>
      <c r="K882" s="57"/>
      <c r="L882" s="57"/>
    </row>
    <row r="883" spans="1:12" x14ac:dyDescent="0.25">
      <c r="A883" s="57"/>
      <c r="B883" s="57"/>
      <c r="C883" s="57"/>
      <c r="D883" s="57"/>
      <c r="E883" s="57"/>
      <c r="F883" s="57"/>
      <c r="G883" s="57"/>
      <c r="H883" s="57"/>
      <c r="I883" s="57"/>
      <c r="J883" s="57"/>
      <c r="K883" s="57"/>
      <c r="L883" s="57"/>
    </row>
    <row r="884" spans="1:12" x14ac:dyDescent="0.25">
      <c r="A884" s="57"/>
      <c r="B884" s="57"/>
      <c r="C884" s="57"/>
      <c r="D884" s="57"/>
      <c r="E884" s="57"/>
      <c r="F884" s="57"/>
      <c r="G884" s="57"/>
      <c r="H884" s="57"/>
      <c r="I884" s="57"/>
      <c r="J884" s="57"/>
      <c r="K884" s="57"/>
      <c r="L884" s="57"/>
    </row>
    <row r="885" spans="1:12" x14ac:dyDescent="0.25">
      <c r="A885" s="57"/>
      <c r="B885" s="57"/>
      <c r="C885" s="57"/>
      <c r="D885" s="57"/>
      <c r="E885" s="57"/>
      <c r="F885" s="57"/>
      <c r="G885" s="57"/>
      <c r="H885" s="57"/>
      <c r="I885" s="57"/>
      <c r="J885" s="57"/>
      <c r="K885" s="57"/>
      <c r="L885" s="57"/>
    </row>
    <row r="886" spans="1:12" x14ac:dyDescent="0.25">
      <c r="A886" s="57"/>
      <c r="B886" s="57"/>
      <c r="C886" s="57"/>
      <c r="D886" s="57"/>
      <c r="E886" s="57"/>
      <c r="F886" s="57"/>
      <c r="G886" s="57"/>
      <c r="H886" s="57"/>
      <c r="I886" s="57"/>
      <c r="J886" s="57"/>
      <c r="K886" s="57"/>
      <c r="L886" s="57"/>
    </row>
    <row r="887" spans="1:12" x14ac:dyDescent="0.25">
      <c r="A887" s="57"/>
      <c r="B887" s="57"/>
      <c r="C887" s="57"/>
      <c r="D887" s="57"/>
      <c r="E887" s="57"/>
      <c r="F887" s="57"/>
      <c r="G887" s="57"/>
      <c r="H887" s="57"/>
      <c r="I887" s="57"/>
      <c r="J887" s="57"/>
      <c r="K887" s="57"/>
      <c r="L887" s="57"/>
    </row>
    <row r="888" spans="1:12" x14ac:dyDescent="0.25">
      <c r="A888" s="57"/>
      <c r="B888" s="57"/>
      <c r="C888" s="57"/>
      <c r="D888" s="57"/>
      <c r="E888" s="57"/>
      <c r="F888" s="57"/>
      <c r="G888" s="57"/>
      <c r="H888" s="57"/>
      <c r="I888" s="57"/>
      <c r="J888" s="57"/>
      <c r="K888" s="57"/>
      <c r="L888" s="57"/>
    </row>
    <row r="889" spans="1:12" x14ac:dyDescent="0.25">
      <c r="A889" s="57"/>
      <c r="B889" s="57"/>
      <c r="C889" s="57"/>
      <c r="D889" s="57"/>
      <c r="E889" s="57"/>
      <c r="F889" s="57"/>
      <c r="G889" s="57"/>
      <c r="H889" s="57"/>
      <c r="I889" s="57"/>
      <c r="J889" s="57"/>
      <c r="K889" s="57"/>
      <c r="L889" s="57"/>
    </row>
    <row r="890" spans="1:12" x14ac:dyDescent="0.25">
      <c r="A890" s="57"/>
      <c r="B890" s="57"/>
      <c r="C890" s="57"/>
      <c r="D890" s="57"/>
      <c r="E890" s="57"/>
      <c r="F890" s="57"/>
      <c r="G890" s="57"/>
      <c r="H890" s="57"/>
      <c r="I890" s="57"/>
      <c r="J890" s="57"/>
      <c r="K890" s="57"/>
      <c r="L890" s="57"/>
    </row>
    <row r="891" spans="1:12" x14ac:dyDescent="0.25">
      <c r="A891" s="57"/>
      <c r="B891" s="57"/>
      <c r="C891" s="57"/>
      <c r="D891" s="57"/>
      <c r="E891" s="57"/>
      <c r="F891" s="57"/>
      <c r="G891" s="57"/>
      <c r="H891" s="57"/>
      <c r="I891" s="57"/>
      <c r="J891" s="57"/>
      <c r="K891" s="57"/>
      <c r="L891" s="57"/>
    </row>
    <row r="892" spans="1:12" x14ac:dyDescent="0.25">
      <c r="A892" s="57"/>
      <c r="B892" s="57"/>
      <c r="C892" s="57"/>
      <c r="D892" s="57"/>
      <c r="E892" s="57"/>
      <c r="F892" s="57"/>
      <c r="G892" s="57"/>
      <c r="H892" s="57"/>
      <c r="I892" s="57"/>
      <c r="J892" s="57"/>
      <c r="K892" s="57"/>
      <c r="L892" s="57"/>
    </row>
    <row r="893" spans="1:12" x14ac:dyDescent="0.25">
      <c r="A893" s="57"/>
      <c r="B893" s="57"/>
      <c r="C893" s="57"/>
      <c r="D893" s="57"/>
      <c r="E893" s="57"/>
      <c r="F893" s="57"/>
      <c r="G893" s="57"/>
      <c r="H893" s="57"/>
      <c r="I893" s="57"/>
      <c r="J893" s="57"/>
      <c r="K893" s="57"/>
      <c r="L893" s="57"/>
    </row>
    <row r="894" spans="1:12" x14ac:dyDescent="0.25">
      <c r="A894" s="57"/>
      <c r="B894" s="57"/>
      <c r="C894" s="57"/>
      <c r="D894" s="57"/>
      <c r="E894" s="57"/>
      <c r="F894" s="57"/>
      <c r="G894" s="57"/>
      <c r="H894" s="57"/>
      <c r="I894" s="57"/>
      <c r="J894" s="57"/>
      <c r="K894" s="57"/>
      <c r="L894" s="57"/>
    </row>
    <row r="895" spans="1:12" x14ac:dyDescent="0.25">
      <c r="A895" s="57"/>
      <c r="B895" s="57"/>
      <c r="C895" s="57"/>
      <c r="D895" s="57"/>
      <c r="E895" s="57"/>
      <c r="F895" s="57"/>
      <c r="G895" s="57"/>
      <c r="H895" s="57"/>
      <c r="I895" s="57"/>
      <c r="J895" s="57"/>
      <c r="K895" s="57"/>
      <c r="L895" s="57"/>
    </row>
    <row r="896" spans="1:12" x14ac:dyDescent="0.25">
      <c r="A896" s="57"/>
      <c r="B896" s="57"/>
      <c r="C896" s="57"/>
      <c r="D896" s="57"/>
      <c r="E896" s="57"/>
      <c r="F896" s="57"/>
      <c r="G896" s="57"/>
      <c r="H896" s="57"/>
      <c r="I896" s="57"/>
      <c r="J896" s="57"/>
      <c r="K896" s="57"/>
      <c r="L896" s="57"/>
    </row>
    <row r="897" spans="1:12" x14ac:dyDescent="0.25">
      <c r="A897" s="57"/>
      <c r="B897" s="57"/>
      <c r="C897" s="57"/>
      <c r="D897" s="57"/>
      <c r="E897" s="57"/>
      <c r="F897" s="57"/>
      <c r="G897" s="57"/>
      <c r="H897" s="57"/>
      <c r="I897" s="57"/>
      <c r="J897" s="57"/>
      <c r="K897" s="57"/>
      <c r="L897" s="57"/>
    </row>
    <row r="898" spans="1:12" x14ac:dyDescent="0.25">
      <c r="A898" s="57"/>
      <c r="B898" s="57"/>
      <c r="C898" s="57"/>
      <c r="D898" s="57"/>
      <c r="E898" s="57"/>
      <c r="F898" s="57"/>
      <c r="G898" s="57"/>
      <c r="H898" s="57"/>
      <c r="I898" s="57"/>
      <c r="J898" s="57"/>
      <c r="K898" s="57"/>
      <c r="L898" s="57"/>
    </row>
    <row r="899" spans="1:12" x14ac:dyDescent="0.25">
      <c r="A899" s="57"/>
      <c r="B899" s="57"/>
      <c r="C899" s="57"/>
      <c r="D899" s="57"/>
      <c r="E899" s="57"/>
      <c r="F899" s="57"/>
      <c r="G899" s="57"/>
      <c r="H899" s="57"/>
      <c r="I899" s="57"/>
      <c r="J899" s="57"/>
      <c r="K899" s="57"/>
      <c r="L899" s="57"/>
    </row>
    <row r="900" spans="1:12" x14ac:dyDescent="0.25">
      <c r="A900" s="57"/>
      <c r="B900" s="57"/>
      <c r="C900" s="57"/>
      <c r="D900" s="57"/>
      <c r="E900" s="57"/>
      <c r="F900" s="57"/>
      <c r="G900" s="57"/>
      <c r="H900" s="57"/>
      <c r="I900" s="57"/>
      <c r="J900" s="57"/>
      <c r="K900" s="57"/>
      <c r="L900" s="57"/>
    </row>
    <row r="901" spans="1:12" x14ac:dyDescent="0.25">
      <c r="A901" s="57"/>
      <c r="B901" s="57"/>
      <c r="C901" s="57"/>
      <c r="D901" s="57"/>
      <c r="E901" s="57"/>
      <c r="F901" s="57"/>
      <c r="G901" s="57"/>
      <c r="H901" s="57"/>
      <c r="I901" s="57"/>
      <c r="J901" s="57"/>
      <c r="K901" s="57"/>
      <c r="L901" s="57"/>
    </row>
    <row r="902" spans="1:12" x14ac:dyDescent="0.25">
      <c r="A902" s="57"/>
      <c r="B902" s="57"/>
      <c r="C902" s="57"/>
      <c r="D902" s="57"/>
      <c r="E902" s="57"/>
      <c r="F902" s="57"/>
      <c r="G902" s="57"/>
      <c r="H902" s="57"/>
      <c r="I902" s="57"/>
      <c r="J902" s="57"/>
      <c r="K902" s="57"/>
      <c r="L902" s="57"/>
    </row>
    <row r="903" spans="1:12" x14ac:dyDescent="0.25">
      <c r="A903" s="57"/>
      <c r="B903" s="57"/>
      <c r="C903" s="57"/>
      <c r="D903" s="57"/>
      <c r="E903" s="57"/>
      <c r="F903" s="57"/>
      <c r="G903" s="57"/>
      <c r="H903" s="57"/>
      <c r="I903" s="57"/>
      <c r="J903" s="57"/>
      <c r="K903" s="57"/>
      <c r="L903" s="57"/>
    </row>
    <row r="904" spans="1:12" x14ac:dyDescent="0.25">
      <c r="A904" s="57"/>
      <c r="B904" s="57"/>
      <c r="C904" s="57"/>
      <c r="D904" s="57"/>
      <c r="E904" s="57"/>
      <c r="F904" s="57"/>
      <c r="G904" s="57"/>
      <c r="H904" s="57"/>
      <c r="I904" s="57"/>
      <c r="J904" s="57"/>
      <c r="K904" s="57"/>
      <c r="L904" s="57"/>
    </row>
    <row r="905" spans="1:12" x14ac:dyDescent="0.25">
      <c r="A905" s="57"/>
      <c r="B905" s="57"/>
      <c r="C905" s="57"/>
      <c r="D905" s="57"/>
      <c r="E905" s="57"/>
      <c r="F905" s="57"/>
      <c r="G905" s="57"/>
      <c r="H905" s="57"/>
      <c r="I905" s="57"/>
      <c r="J905" s="57"/>
      <c r="K905" s="57"/>
      <c r="L905" s="57"/>
    </row>
    <row r="906" spans="1:12" x14ac:dyDescent="0.25">
      <c r="A906" s="57"/>
      <c r="B906" s="57"/>
      <c r="C906" s="57"/>
      <c r="D906" s="57"/>
      <c r="E906" s="57"/>
      <c r="F906" s="57"/>
      <c r="G906" s="57"/>
      <c r="H906" s="57"/>
      <c r="I906" s="57"/>
      <c r="J906" s="57"/>
      <c r="K906" s="57"/>
      <c r="L906" s="57"/>
    </row>
    <row r="907" spans="1:12" x14ac:dyDescent="0.25">
      <c r="A907" s="57"/>
      <c r="B907" s="57"/>
      <c r="C907" s="57"/>
      <c r="D907" s="57"/>
      <c r="E907" s="57"/>
      <c r="F907" s="57"/>
      <c r="G907" s="57"/>
      <c r="H907" s="57"/>
      <c r="I907" s="57"/>
      <c r="J907" s="57"/>
      <c r="K907" s="57"/>
      <c r="L907" s="57"/>
    </row>
    <row r="908" spans="1:12" x14ac:dyDescent="0.25">
      <c r="A908" s="57"/>
      <c r="B908" s="57"/>
      <c r="C908" s="57"/>
      <c r="D908" s="57"/>
      <c r="E908" s="57"/>
      <c r="F908" s="57"/>
      <c r="G908" s="57"/>
      <c r="H908" s="57"/>
      <c r="I908" s="57"/>
      <c r="J908" s="57"/>
      <c r="K908" s="57"/>
      <c r="L908" s="57"/>
    </row>
    <row r="909" spans="1:12" x14ac:dyDescent="0.25">
      <c r="A909" s="57"/>
      <c r="B909" s="57"/>
      <c r="C909" s="57"/>
      <c r="D909" s="57"/>
      <c r="E909" s="57"/>
      <c r="F909" s="57"/>
      <c r="G909" s="57"/>
      <c r="H909" s="57"/>
      <c r="I909" s="57"/>
      <c r="J909" s="57"/>
      <c r="K909" s="57"/>
      <c r="L909" s="57"/>
    </row>
    <row r="910" spans="1:12" x14ac:dyDescent="0.25">
      <c r="A910" s="57"/>
      <c r="B910" s="57"/>
      <c r="C910" s="57"/>
      <c r="D910" s="57"/>
      <c r="E910" s="57"/>
      <c r="F910" s="57"/>
      <c r="G910" s="57"/>
      <c r="H910" s="57"/>
      <c r="I910" s="57"/>
      <c r="J910" s="57"/>
      <c r="K910" s="57"/>
      <c r="L910" s="57"/>
    </row>
    <row r="911" spans="1:12" x14ac:dyDescent="0.25">
      <c r="A911" s="57"/>
      <c r="B911" s="57"/>
      <c r="C911" s="57"/>
      <c r="D911" s="57"/>
      <c r="E911" s="57"/>
      <c r="F911" s="57"/>
      <c r="G911" s="57"/>
      <c r="H911" s="57"/>
      <c r="I911" s="57"/>
      <c r="J911" s="57"/>
      <c r="K911" s="57"/>
      <c r="L911" s="57"/>
    </row>
    <row r="912" spans="1:12" x14ac:dyDescent="0.25">
      <c r="A912" s="57"/>
      <c r="B912" s="57"/>
      <c r="C912" s="57"/>
      <c r="D912" s="57"/>
      <c r="E912" s="57"/>
      <c r="F912" s="57"/>
      <c r="G912" s="57"/>
      <c r="H912" s="57"/>
      <c r="I912" s="57"/>
      <c r="J912" s="57"/>
      <c r="K912" s="57"/>
      <c r="L912" s="57"/>
    </row>
    <row r="913" spans="1:12" x14ac:dyDescent="0.25">
      <c r="A913" s="57"/>
      <c r="B913" s="57"/>
      <c r="C913" s="57"/>
      <c r="D913" s="57"/>
      <c r="E913" s="57"/>
      <c r="F913" s="57"/>
      <c r="G913" s="57"/>
      <c r="H913" s="57"/>
      <c r="I913" s="57"/>
      <c r="J913" s="57"/>
      <c r="K913" s="57"/>
      <c r="L913" s="57"/>
    </row>
    <row r="914" spans="1:12" x14ac:dyDescent="0.25">
      <c r="A914" s="57"/>
      <c r="B914" s="57"/>
      <c r="C914" s="57"/>
      <c r="D914" s="57"/>
      <c r="E914" s="57"/>
      <c r="F914" s="57"/>
      <c r="G914" s="57"/>
      <c r="H914" s="57"/>
      <c r="I914" s="57"/>
      <c r="J914" s="57"/>
      <c r="K914" s="57"/>
      <c r="L914" s="57"/>
    </row>
    <row r="915" spans="1:12" x14ac:dyDescent="0.25">
      <c r="A915" s="57"/>
      <c r="B915" s="57"/>
      <c r="C915" s="57"/>
      <c r="D915" s="57"/>
      <c r="E915" s="57"/>
      <c r="F915" s="57"/>
      <c r="G915" s="57"/>
      <c r="H915" s="57"/>
      <c r="I915" s="57"/>
      <c r="J915" s="57"/>
      <c r="K915" s="57"/>
      <c r="L915" s="57"/>
    </row>
    <row r="916" spans="1:12" x14ac:dyDescent="0.25">
      <c r="A916" s="57"/>
      <c r="B916" s="57"/>
      <c r="C916" s="57"/>
      <c r="D916" s="57"/>
      <c r="E916" s="57"/>
      <c r="F916" s="57"/>
      <c r="G916" s="57"/>
      <c r="H916" s="57"/>
      <c r="I916" s="57"/>
      <c r="J916" s="57"/>
      <c r="K916" s="57"/>
      <c r="L916" s="57"/>
    </row>
    <row r="917" spans="1:12" x14ac:dyDescent="0.25">
      <c r="A917" s="57"/>
      <c r="B917" s="57"/>
      <c r="C917" s="57"/>
      <c r="D917" s="57"/>
      <c r="E917" s="57"/>
      <c r="F917" s="57"/>
      <c r="G917" s="57"/>
      <c r="H917" s="57"/>
      <c r="I917" s="57"/>
      <c r="J917" s="57"/>
      <c r="K917" s="57"/>
      <c r="L917" s="57"/>
    </row>
    <row r="918" spans="1:12" x14ac:dyDescent="0.25">
      <c r="A918" s="57"/>
      <c r="B918" s="57"/>
      <c r="C918" s="57"/>
      <c r="D918" s="57"/>
      <c r="E918" s="57"/>
      <c r="F918" s="57"/>
      <c r="G918" s="57"/>
      <c r="H918" s="57"/>
      <c r="I918" s="57"/>
      <c r="J918" s="57"/>
      <c r="K918" s="57"/>
      <c r="L918" s="57"/>
    </row>
    <row r="919" spans="1:12" x14ac:dyDescent="0.25">
      <c r="A919" s="57"/>
      <c r="B919" s="57"/>
      <c r="C919" s="57"/>
      <c r="D919" s="57"/>
      <c r="E919" s="57"/>
      <c r="F919" s="57"/>
      <c r="G919" s="57"/>
      <c r="H919" s="57"/>
      <c r="I919" s="57"/>
      <c r="J919" s="57"/>
      <c r="K919" s="57"/>
      <c r="L919" s="57"/>
    </row>
    <row r="920" spans="1:12" x14ac:dyDescent="0.25">
      <c r="A920" s="57"/>
      <c r="B920" s="57"/>
      <c r="C920" s="57"/>
      <c r="D920" s="57"/>
      <c r="E920" s="57"/>
      <c r="F920" s="57"/>
      <c r="G920" s="57"/>
      <c r="H920" s="57"/>
      <c r="I920" s="57"/>
      <c r="J920" s="57"/>
      <c r="K920" s="57"/>
      <c r="L920" s="57"/>
    </row>
    <row r="921" spans="1:12" x14ac:dyDescent="0.25">
      <c r="A921" s="57"/>
      <c r="B921" s="57"/>
      <c r="C921" s="57"/>
      <c r="D921" s="57"/>
      <c r="E921" s="57"/>
      <c r="F921" s="57"/>
      <c r="G921" s="57"/>
      <c r="H921" s="57"/>
      <c r="I921" s="57"/>
      <c r="J921" s="57"/>
      <c r="K921" s="57"/>
      <c r="L921" s="57"/>
    </row>
    <row r="922" spans="1:12" x14ac:dyDescent="0.25">
      <c r="A922" s="57"/>
      <c r="B922" s="57"/>
      <c r="C922" s="57"/>
      <c r="D922" s="57"/>
      <c r="E922" s="57"/>
      <c r="F922" s="57"/>
      <c r="G922" s="57"/>
      <c r="H922" s="57"/>
      <c r="I922" s="57"/>
      <c r="J922" s="57"/>
      <c r="K922" s="57"/>
      <c r="L922" s="57"/>
    </row>
    <row r="923" spans="1:12" x14ac:dyDescent="0.25">
      <c r="A923" s="57"/>
      <c r="B923" s="57"/>
      <c r="C923" s="57"/>
      <c r="D923" s="57"/>
      <c r="E923" s="57"/>
      <c r="F923" s="57"/>
      <c r="G923" s="57"/>
      <c r="H923" s="57"/>
      <c r="I923" s="57"/>
      <c r="J923" s="57"/>
      <c r="K923" s="57"/>
      <c r="L923" s="57"/>
    </row>
    <row r="924" spans="1:12" x14ac:dyDescent="0.25">
      <c r="A924" s="57"/>
      <c r="B924" s="57"/>
      <c r="C924" s="57"/>
      <c r="D924" s="57"/>
      <c r="E924" s="57"/>
      <c r="F924" s="57"/>
      <c r="G924" s="57"/>
      <c r="H924" s="57"/>
      <c r="I924" s="57"/>
      <c r="J924" s="57"/>
      <c r="K924" s="57"/>
      <c r="L924" s="57"/>
    </row>
    <row r="925" spans="1:12" x14ac:dyDescent="0.25">
      <c r="A925" s="57"/>
      <c r="B925" s="57"/>
      <c r="C925" s="57"/>
      <c r="D925" s="57"/>
      <c r="E925" s="57"/>
      <c r="F925" s="57"/>
      <c r="G925" s="57"/>
      <c r="H925" s="57"/>
      <c r="I925" s="57"/>
      <c r="J925" s="57"/>
      <c r="K925" s="57"/>
      <c r="L925" s="57"/>
    </row>
    <row r="926" spans="1:12" x14ac:dyDescent="0.25">
      <c r="A926" s="57"/>
      <c r="B926" s="57"/>
      <c r="C926" s="57"/>
      <c r="D926" s="57"/>
      <c r="E926" s="57"/>
      <c r="F926" s="57"/>
      <c r="G926" s="57"/>
      <c r="H926" s="57"/>
      <c r="I926" s="57"/>
      <c r="J926" s="57"/>
      <c r="K926" s="57"/>
      <c r="L926" s="57"/>
    </row>
    <row r="927" spans="1:12" x14ac:dyDescent="0.25">
      <c r="A927" s="57"/>
      <c r="B927" s="57"/>
      <c r="C927" s="57"/>
      <c r="D927" s="57"/>
      <c r="E927" s="57"/>
      <c r="F927" s="57"/>
      <c r="G927" s="57"/>
      <c r="H927" s="57"/>
      <c r="I927" s="57"/>
      <c r="J927" s="57"/>
      <c r="K927" s="57"/>
      <c r="L927" s="57"/>
    </row>
    <row r="928" spans="1:12" x14ac:dyDescent="0.25">
      <c r="A928" s="57"/>
      <c r="B928" s="57"/>
      <c r="C928" s="57"/>
      <c r="D928" s="57"/>
      <c r="E928" s="57"/>
      <c r="F928" s="57"/>
      <c r="G928" s="57"/>
      <c r="H928" s="57"/>
      <c r="I928" s="57"/>
      <c r="J928" s="57"/>
      <c r="K928" s="57"/>
      <c r="L928" s="57"/>
    </row>
    <row r="929" spans="1:12" x14ac:dyDescent="0.25">
      <c r="A929" s="57"/>
      <c r="B929" s="57"/>
      <c r="C929" s="57"/>
      <c r="D929" s="57"/>
      <c r="E929" s="57"/>
      <c r="F929" s="57"/>
      <c r="G929" s="57"/>
      <c r="H929" s="57"/>
      <c r="I929" s="57"/>
      <c r="J929" s="57"/>
      <c r="K929" s="57"/>
      <c r="L929" s="57"/>
    </row>
    <row r="930" spans="1:12" x14ac:dyDescent="0.25">
      <c r="A930" s="57"/>
      <c r="B930" s="57"/>
      <c r="C930" s="57"/>
      <c r="D930" s="57"/>
      <c r="E930" s="57"/>
      <c r="F930" s="57"/>
      <c r="G930" s="57"/>
      <c r="H930" s="57"/>
      <c r="I930" s="57"/>
      <c r="J930" s="57"/>
      <c r="K930" s="57"/>
      <c r="L930" s="57"/>
    </row>
    <row r="931" spans="1:12" x14ac:dyDescent="0.25">
      <c r="A931" s="57"/>
      <c r="B931" s="57"/>
      <c r="C931" s="57"/>
      <c r="D931" s="57"/>
      <c r="E931" s="57"/>
      <c r="F931" s="57"/>
      <c r="G931" s="57"/>
      <c r="H931" s="57"/>
      <c r="I931" s="57"/>
      <c r="J931" s="57"/>
      <c r="K931" s="57"/>
      <c r="L931" s="57"/>
    </row>
    <row r="932" spans="1:12" x14ac:dyDescent="0.25">
      <c r="A932" s="57"/>
      <c r="B932" s="57"/>
      <c r="C932" s="57"/>
      <c r="D932" s="57"/>
      <c r="E932" s="57"/>
      <c r="F932" s="57"/>
      <c r="G932" s="57"/>
      <c r="H932" s="57"/>
      <c r="I932" s="57"/>
      <c r="J932" s="57"/>
      <c r="K932" s="57"/>
      <c r="L932" s="57"/>
    </row>
    <row r="933" spans="1:12" x14ac:dyDescent="0.25">
      <c r="A933" s="57"/>
      <c r="B933" s="57"/>
      <c r="C933" s="57"/>
      <c r="D933" s="57"/>
      <c r="E933" s="57"/>
      <c r="F933" s="57"/>
      <c r="G933" s="57"/>
      <c r="H933" s="57"/>
      <c r="I933" s="57"/>
      <c r="J933" s="57"/>
      <c r="K933" s="57"/>
      <c r="L933" s="57"/>
    </row>
    <row r="934" spans="1:12" x14ac:dyDescent="0.25">
      <c r="A934" s="57"/>
      <c r="B934" s="57"/>
      <c r="C934" s="57"/>
      <c r="D934" s="57"/>
      <c r="E934" s="57"/>
      <c r="F934" s="57"/>
      <c r="G934" s="57"/>
      <c r="H934" s="57"/>
      <c r="I934" s="57"/>
      <c r="J934" s="57"/>
      <c r="K934" s="57"/>
      <c r="L934" s="57"/>
    </row>
    <row r="935" spans="1:12" x14ac:dyDescent="0.25">
      <c r="A935" s="57"/>
      <c r="B935" s="57"/>
      <c r="C935" s="57"/>
      <c r="D935" s="57"/>
      <c r="E935" s="57"/>
      <c r="F935" s="57"/>
      <c r="G935" s="57"/>
      <c r="H935" s="57"/>
      <c r="I935" s="57"/>
      <c r="J935" s="57"/>
      <c r="K935" s="57"/>
      <c r="L935" s="57"/>
    </row>
    <row r="936" spans="1:12" x14ac:dyDescent="0.25">
      <c r="A936" s="57"/>
      <c r="B936" s="57"/>
      <c r="C936" s="57"/>
      <c r="D936" s="57"/>
      <c r="E936" s="57"/>
      <c r="F936" s="57"/>
      <c r="G936" s="57"/>
      <c r="H936" s="57"/>
      <c r="I936" s="57"/>
      <c r="J936" s="57"/>
      <c r="K936" s="57"/>
      <c r="L936" s="57"/>
    </row>
    <row r="937" spans="1:12" x14ac:dyDescent="0.25">
      <c r="A937" s="57"/>
      <c r="B937" s="57"/>
      <c r="C937" s="57"/>
      <c r="D937" s="57"/>
      <c r="E937" s="57"/>
      <c r="F937" s="57"/>
      <c r="G937" s="57"/>
      <c r="H937" s="57"/>
      <c r="I937" s="57"/>
      <c r="J937" s="57"/>
      <c r="K937" s="57"/>
      <c r="L937" s="57"/>
    </row>
    <row r="938" spans="1:12" x14ac:dyDescent="0.25">
      <c r="A938" s="57"/>
      <c r="B938" s="57"/>
      <c r="C938" s="57"/>
      <c r="D938" s="57"/>
      <c r="E938" s="57"/>
      <c r="F938" s="57"/>
      <c r="G938" s="57"/>
      <c r="H938" s="57"/>
      <c r="I938" s="57"/>
      <c r="J938" s="57"/>
      <c r="K938" s="57"/>
      <c r="L938" s="57"/>
    </row>
    <row r="939" spans="1:12" x14ac:dyDescent="0.25">
      <c r="A939" s="57"/>
      <c r="B939" s="57"/>
      <c r="C939" s="57"/>
      <c r="D939" s="57"/>
      <c r="E939" s="57"/>
      <c r="F939" s="57"/>
      <c r="G939" s="57"/>
      <c r="H939" s="57"/>
      <c r="I939" s="57"/>
      <c r="J939" s="57"/>
      <c r="K939" s="57"/>
      <c r="L939" s="57"/>
    </row>
    <row r="940" spans="1:12" x14ac:dyDescent="0.25">
      <c r="A940" s="57"/>
      <c r="B940" s="57"/>
      <c r="C940" s="57"/>
      <c r="D940" s="57"/>
      <c r="E940" s="57"/>
      <c r="F940" s="57"/>
      <c r="G940" s="57"/>
      <c r="H940" s="57"/>
      <c r="I940" s="57"/>
      <c r="J940" s="57"/>
      <c r="K940" s="57"/>
      <c r="L940" s="57"/>
    </row>
    <row r="941" spans="1:12" x14ac:dyDescent="0.25">
      <c r="A941" s="57"/>
      <c r="B941" s="57"/>
      <c r="C941" s="57"/>
      <c r="D941" s="57"/>
      <c r="E941" s="57"/>
      <c r="F941" s="57"/>
      <c r="G941" s="57"/>
      <c r="H941" s="57"/>
      <c r="I941" s="57"/>
      <c r="J941" s="57"/>
      <c r="K941" s="57"/>
      <c r="L941" s="57"/>
    </row>
    <row r="942" spans="1:12" x14ac:dyDescent="0.25">
      <c r="A942" s="57"/>
      <c r="B942" s="57"/>
      <c r="C942" s="57"/>
      <c r="D942" s="57"/>
      <c r="E942" s="57"/>
      <c r="F942" s="57"/>
      <c r="G942" s="57"/>
      <c r="H942" s="57"/>
      <c r="I942" s="57"/>
      <c r="J942" s="57"/>
      <c r="K942" s="57"/>
      <c r="L942" s="57"/>
    </row>
    <row r="943" spans="1:12" x14ac:dyDescent="0.25">
      <c r="A943" s="57"/>
      <c r="B943" s="57"/>
      <c r="C943" s="57"/>
      <c r="D943" s="57"/>
      <c r="E943" s="57"/>
      <c r="F943" s="57"/>
      <c r="G943" s="57"/>
      <c r="H943" s="57"/>
      <c r="I943" s="57"/>
      <c r="J943" s="57"/>
      <c r="K943" s="57"/>
      <c r="L943" s="57"/>
    </row>
    <row r="944" spans="1:12" x14ac:dyDescent="0.25">
      <c r="A944" s="57"/>
      <c r="B944" s="57"/>
      <c r="C944" s="57"/>
      <c r="D944" s="57"/>
      <c r="E944" s="57"/>
      <c r="F944" s="57"/>
      <c r="G944" s="57"/>
      <c r="H944" s="57"/>
      <c r="I944" s="57"/>
      <c r="J944" s="57"/>
      <c r="K944" s="57"/>
      <c r="L944" s="57"/>
    </row>
    <row r="945" spans="1:12" x14ac:dyDescent="0.25">
      <c r="A945" s="57"/>
      <c r="B945" s="57"/>
      <c r="C945" s="57"/>
      <c r="D945" s="57"/>
      <c r="E945" s="57"/>
      <c r="F945" s="57"/>
      <c r="G945" s="57"/>
      <c r="H945" s="57"/>
      <c r="I945" s="57"/>
      <c r="J945" s="57"/>
      <c r="K945" s="57"/>
      <c r="L945" s="57"/>
    </row>
    <row r="946" spans="1:12" x14ac:dyDescent="0.25">
      <c r="A946" s="57"/>
      <c r="B946" s="57"/>
      <c r="C946" s="57"/>
      <c r="D946" s="57"/>
      <c r="E946" s="57"/>
      <c r="F946" s="57"/>
      <c r="G946" s="57"/>
      <c r="H946" s="57"/>
      <c r="I946" s="57"/>
      <c r="J946" s="57"/>
      <c r="K946" s="57"/>
      <c r="L946" s="57"/>
    </row>
    <row r="947" spans="1:12" x14ac:dyDescent="0.25">
      <c r="A947" s="57"/>
      <c r="B947" s="57"/>
      <c r="C947" s="57"/>
      <c r="D947" s="57"/>
      <c r="E947" s="57"/>
      <c r="F947" s="57"/>
      <c r="G947" s="57"/>
      <c r="H947" s="57"/>
      <c r="I947" s="57"/>
      <c r="J947" s="57"/>
      <c r="K947" s="57"/>
      <c r="L947" s="57"/>
    </row>
    <row r="948" spans="1:12" x14ac:dyDescent="0.25">
      <c r="A948" s="57"/>
      <c r="B948" s="57"/>
      <c r="C948" s="57"/>
      <c r="D948" s="57"/>
      <c r="E948" s="57"/>
      <c r="F948" s="57"/>
      <c r="G948" s="57"/>
      <c r="H948" s="57"/>
      <c r="I948" s="57"/>
      <c r="J948" s="57"/>
      <c r="K948" s="57"/>
      <c r="L948" s="57"/>
    </row>
    <row r="949" spans="1:12" x14ac:dyDescent="0.25">
      <c r="A949" s="57"/>
      <c r="B949" s="57"/>
      <c r="C949" s="57"/>
      <c r="D949" s="57"/>
      <c r="E949" s="57"/>
      <c r="F949" s="57"/>
      <c r="G949" s="57"/>
      <c r="H949" s="57"/>
      <c r="I949" s="57"/>
      <c r="J949" s="57"/>
      <c r="K949" s="57"/>
      <c r="L949" s="57"/>
    </row>
    <row r="950" spans="1:12" x14ac:dyDescent="0.25">
      <c r="A950" s="57"/>
      <c r="B950" s="57"/>
      <c r="C950" s="57"/>
      <c r="D950" s="57"/>
      <c r="E950" s="57"/>
      <c r="F950" s="57"/>
      <c r="G950" s="57"/>
      <c r="H950" s="57"/>
      <c r="I950" s="57"/>
      <c r="J950" s="57"/>
      <c r="K950" s="57"/>
      <c r="L950" s="57"/>
    </row>
    <row r="951" spans="1:12" x14ac:dyDescent="0.25">
      <c r="A951" s="57"/>
      <c r="B951" s="57"/>
      <c r="C951" s="57"/>
      <c r="D951" s="57"/>
      <c r="E951" s="57"/>
      <c r="F951" s="57"/>
      <c r="G951" s="57"/>
      <c r="H951" s="57"/>
      <c r="I951" s="57"/>
      <c r="J951" s="57"/>
      <c r="K951" s="57"/>
      <c r="L951" s="57"/>
    </row>
    <row r="952" spans="1:12" x14ac:dyDescent="0.25">
      <c r="A952" s="57"/>
      <c r="B952" s="57"/>
      <c r="C952" s="57"/>
      <c r="D952" s="57"/>
      <c r="E952" s="57"/>
      <c r="F952" s="57"/>
      <c r="G952" s="57"/>
      <c r="H952" s="57"/>
      <c r="I952" s="57"/>
      <c r="J952" s="57"/>
      <c r="K952" s="57"/>
      <c r="L952" s="57"/>
    </row>
    <row r="953" spans="1:12" x14ac:dyDescent="0.25">
      <c r="A953" s="57"/>
      <c r="B953" s="57"/>
      <c r="C953" s="57"/>
      <c r="D953" s="57"/>
      <c r="E953" s="57"/>
      <c r="F953" s="57"/>
      <c r="G953" s="57"/>
      <c r="H953" s="57"/>
      <c r="I953" s="57"/>
      <c r="J953" s="57"/>
      <c r="K953" s="57"/>
      <c r="L953" s="57"/>
    </row>
    <row r="954" spans="1:12" x14ac:dyDescent="0.25">
      <c r="A954" s="57"/>
      <c r="B954" s="57"/>
      <c r="C954" s="57"/>
      <c r="D954" s="57"/>
      <c r="E954" s="57"/>
      <c r="F954" s="57"/>
      <c r="G954" s="57"/>
      <c r="H954" s="57"/>
      <c r="I954" s="57"/>
      <c r="J954" s="57"/>
      <c r="K954" s="57"/>
      <c r="L954" s="57"/>
    </row>
    <row r="955" spans="1:12" x14ac:dyDescent="0.25">
      <c r="A955" s="57"/>
      <c r="B955" s="57"/>
      <c r="C955" s="57"/>
      <c r="D955" s="57"/>
      <c r="E955" s="57"/>
      <c r="F955" s="57"/>
      <c r="G955" s="57"/>
      <c r="H955" s="57"/>
      <c r="I955" s="57"/>
      <c r="J955" s="57"/>
      <c r="K955" s="57"/>
      <c r="L955" s="57"/>
    </row>
    <row r="956" spans="1:12" x14ac:dyDescent="0.25">
      <c r="A956" s="57"/>
      <c r="B956" s="57"/>
      <c r="C956" s="57"/>
      <c r="D956" s="57"/>
      <c r="E956" s="57"/>
      <c r="F956" s="57"/>
      <c r="G956" s="57"/>
      <c r="H956" s="57"/>
      <c r="I956" s="57"/>
      <c r="J956" s="57"/>
      <c r="K956" s="57"/>
      <c r="L956" s="57"/>
    </row>
    <row r="957" spans="1:12" x14ac:dyDescent="0.25">
      <c r="A957" s="57"/>
      <c r="B957" s="57"/>
      <c r="C957" s="57"/>
      <c r="D957" s="57"/>
      <c r="E957" s="57"/>
      <c r="F957" s="57"/>
      <c r="G957" s="57"/>
      <c r="H957" s="57"/>
      <c r="I957" s="57"/>
      <c r="J957" s="57"/>
      <c r="K957" s="57"/>
      <c r="L957" s="57"/>
    </row>
    <row r="958" spans="1:12" x14ac:dyDescent="0.25">
      <c r="A958" s="57"/>
      <c r="B958" s="57"/>
      <c r="C958" s="57"/>
      <c r="D958" s="57"/>
      <c r="E958" s="57"/>
      <c r="F958" s="57"/>
      <c r="G958" s="57"/>
      <c r="H958" s="57"/>
      <c r="I958" s="57"/>
      <c r="J958" s="57"/>
      <c r="K958" s="57"/>
      <c r="L958" s="57"/>
    </row>
    <row r="959" spans="1:12" x14ac:dyDescent="0.25">
      <c r="A959" s="57"/>
      <c r="B959" s="57"/>
      <c r="C959" s="57"/>
      <c r="D959" s="57"/>
      <c r="E959" s="57"/>
      <c r="F959" s="57"/>
      <c r="G959" s="57"/>
      <c r="H959" s="57"/>
      <c r="I959" s="57"/>
      <c r="J959" s="57"/>
      <c r="K959" s="57"/>
      <c r="L959" s="57"/>
    </row>
    <row r="960" spans="1:12" x14ac:dyDescent="0.25">
      <c r="A960" s="57"/>
      <c r="B960" s="57"/>
      <c r="C960" s="57"/>
      <c r="D960" s="57"/>
      <c r="E960" s="57"/>
      <c r="F960" s="57"/>
      <c r="G960" s="57"/>
      <c r="H960" s="57"/>
      <c r="I960" s="57"/>
      <c r="J960" s="57"/>
      <c r="K960" s="57"/>
      <c r="L960" s="57"/>
    </row>
    <row r="961" spans="1:12" x14ac:dyDescent="0.25">
      <c r="A961" s="57"/>
      <c r="B961" s="57"/>
      <c r="C961" s="57"/>
      <c r="D961" s="57"/>
      <c r="E961" s="57"/>
      <c r="F961" s="57"/>
      <c r="G961" s="57"/>
      <c r="H961" s="57"/>
      <c r="I961" s="57"/>
      <c r="J961" s="57"/>
      <c r="K961" s="57"/>
      <c r="L961" s="57"/>
    </row>
    <row r="962" spans="1:12" x14ac:dyDescent="0.25">
      <c r="A962" s="57"/>
      <c r="B962" s="57"/>
      <c r="C962" s="57"/>
      <c r="D962" s="57"/>
      <c r="E962" s="57"/>
      <c r="F962" s="57"/>
      <c r="G962" s="57"/>
      <c r="H962" s="57"/>
      <c r="I962" s="57"/>
      <c r="J962" s="57"/>
      <c r="K962" s="57"/>
      <c r="L962" s="57"/>
    </row>
    <row r="963" spans="1:12" x14ac:dyDescent="0.25">
      <c r="A963" s="57"/>
      <c r="B963" s="57"/>
      <c r="C963" s="57"/>
      <c r="D963" s="57"/>
      <c r="E963" s="57"/>
      <c r="F963" s="57"/>
      <c r="G963" s="57"/>
      <c r="H963" s="57"/>
      <c r="I963" s="57"/>
      <c r="J963" s="57"/>
      <c r="K963" s="57"/>
      <c r="L963" s="57"/>
    </row>
    <row r="964" spans="1:12" x14ac:dyDescent="0.25">
      <c r="A964" s="57"/>
      <c r="B964" s="57"/>
      <c r="C964" s="57"/>
      <c r="D964" s="57"/>
      <c r="E964" s="57"/>
      <c r="F964" s="57"/>
      <c r="G964" s="57"/>
      <c r="H964" s="57"/>
      <c r="I964" s="57"/>
      <c r="J964" s="57"/>
      <c r="K964" s="57"/>
      <c r="L964" s="57"/>
    </row>
    <row r="965" spans="1:12" x14ac:dyDescent="0.25">
      <c r="A965" s="57"/>
      <c r="B965" s="57"/>
      <c r="C965" s="57"/>
      <c r="D965" s="57"/>
      <c r="E965" s="57"/>
      <c r="F965" s="57"/>
      <c r="G965" s="57"/>
      <c r="H965" s="57"/>
      <c r="I965" s="57"/>
      <c r="J965" s="57"/>
      <c r="K965" s="57"/>
      <c r="L965" s="57"/>
    </row>
    <row r="966" spans="1:12" x14ac:dyDescent="0.25">
      <c r="A966" s="57"/>
      <c r="B966" s="57"/>
      <c r="C966" s="57"/>
      <c r="D966" s="57"/>
      <c r="E966" s="57"/>
      <c r="F966" s="57"/>
      <c r="G966" s="57"/>
      <c r="H966" s="57"/>
      <c r="I966" s="57"/>
      <c r="J966" s="57"/>
      <c r="K966" s="57"/>
      <c r="L966" s="57"/>
    </row>
    <row r="967" spans="1:12" x14ac:dyDescent="0.25">
      <c r="A967" s="57"/>
      <c r="B967" s="57"/>
      <c r="C967" s="57"/>
      <c r="D967" s="57"/>
      <c r="E967" s="57"/>
      <c r="F967" s="57"/>
      <c r="G967" s="57"/>
      <c r="H967" s="57"/>
      <c r="I967" s="57"/>
      <c r="J967" s="57"/>
      <c r="K967" s="57"/>
      <c r="L967" s="57"/>
    </row>
    <row r="968" spans="1:12" x14ac:dyDescent="0.25">
      <c r="A968" s="57"/>
      <c r="B968" s="57"/>
      <c r="C968" s="57"/>
      <c r="D968" s="57"/>
      <c r="E968" s="57"/>
      <c r="F968" s="57"/>
      <c r="G968" s="57"/>
      <c r="H968" s="57"/>
      <c r="I968" s="57"/>
      <c r="J968" s="57"/>
      <c r="K968" s="57"/>
      <c r="L968" s="57"/>
    </row>
    <row r="969" spans="1:12" x14ac:dyDescent="0.25">
      <c r="A969" s="57"/>
      <c r="B969" s="57"/>
      <c r="C969" s="57"/>
      <c r="D969" s="57"/>
      <c r="E969" s="57"/>
      <c r="F969" s="57"/>
      <c r="G969" s="57"/>
      <c r="H969" s="57"/>
      <c r="I969" s="57"/>
      <c r="J969" s="57"/>
      <c r="K969" s="57"/>
      <c r="L969" s="57"/>
    </row>
    <row r="970" spans="1:12" x14ac:dyDescent="0.25">
      <c r="A970" s="57"/>
      <c r="B970" s="57"/>
      <c r="C970" s="57"/>
      <c r="D970" s="57"/>
      <c r="E970" s="57"/>
      <c r="F970" s="57"/>
      <c r="G970" s="57"/>
      <c r="H970" s="57"/>
      <c r="I970" s="57"/>
      <c r="J970" s="57"/>
      <c r="K970" s="57"/>
      <c r="L970" s="57"/>
    </row>
    <row r="971" spans="1:12" x14ac:dyDescent="0.25">
      <c r="A971" s="57"/>
      <c r="B971" s="57"/>
      <c r="C971" s="57"/>
      <c r="D971" s="57"/>
      <c r="E971" s="57"/>
      <c r="F971" s="57"/>
      <c r="G971" s="57"/>
      <c r="H971" s="57"/>
      <c r="I971" s="57"/>
      <c r="J971" s="57"/>
      <c r="K971" s="57"/>
      <c r="L971" s="57"/>
    </row>
    <row r="972" spans="1:12" x14ac:dyDescent="0.25">
      <c r="A972" s="57"/>
      <c r="B972" s="57"/>
      <c r="C972" s="57"/>
      <c r="D972" s="57"/>
      <c r="E972" s="57"/>
      <c r="F972" s="57"/>
      <c r="G972" s="57"/>
      <c r="H972" s="57"/>
      <c r="I972" s="57"/>
      <c r="J972" s="57"/>
      <c r="K972" s="57"/>
      <c r="L972" s="57"/>
    </row>
    <row r="973" spans="1:12" x14ac:dyDescent="0.25">
      <c r="A973" s="57"/>
      <c r="B973" s="57"/>
      <c r="C973" s="57"/>
      <c r="D973" s="57"/>
      <c r="E973" s="57"/>
      <c r="F973" s="57"/>
      <c r="G973" s="57"/>
      <c r="H973" s="57"/>
      <c r="I973" s="57"/>
      <c r="J973" s="57"/>
      <c r="K973" s="57"/>
      <c r="L973" s="57"/>
    </row>
    <row r="974" spans="1:12" x14ac:dyDescent="0.25">
      <c r="A974" s="57"/>
      <c r="B974" s="57"/>
      <c r="C974" s="57"/>
      <c r="D974" s="57"/>
      <c r="E974" s="57"/>
      <c r="F974" s="57"/>
      <c r="G974" s="57"/>
      <c r="H974" s="57"/>
      <c r="I974" s="57"/>
      <c r="J974" s="57"/>
      <c r="K974" s="57"/>
      <c r="L974" s="57"/>
    </row>
    <row r="975" spans="1:12" x14ac:dyDescent="0.25">
      <c r="A975" s="57"/>
      <c r="B975" s="57"/>
      <c r="C975" s="57"/>
      <c r="D975" s="57"/>
      <c r="E975" s="57"/>
      <c r="F975" s="57"/>
      <c r="G975" s="57"/>
      <c r="H975" s="57"/>
      <c r="I975" s="57"/>
      <c r="J975" s="57"/>
      <c r="K975" s="57"/>
      <c r="L975" s="57"/>
    </row>
    <row r="976" spans="1:12" x14ac:dyDescent="0.25">
      <c r="A976" s="57"/>
      <c r="B976" s="57"/>
      <c r="C976" s="57"/>
      <c r="D976" s="57"/>
      <c r="E976" s="57"/>
      <c r="F976" s="57"/>
      <c r="G976" s="57"/>
      <c r="H976" s="57"/>
      <c r="I976" s="57"/>
      <c r="J976" s="57"/>
      <c r="K976" s="57"/>
      <c r="L976" s="57"/>
    </row>
    <row r="977" spans="1:12" x14ac:dyDescent="0.25">
      <c r="A977" s="57"/>
      <c r="B977" s="57"/>
      <c r="C977" s="57"/>
      <c r="D977" s="57"/>
      <c r="E977" s="57"/>
      <c r="F977" s="57"/>
      <c r="G977" s="57"/>
      <c r="H977" s="57"/>
      <c r="I977" s="57"/>
      <c r="J977" s="57"/>
      <c r="K977" s="57"/>
      <c r="L977" s="57"/>
    </row>
    <row r="978" spans="1:12" x14ac:dyDescent="0.25">
      <c r="A978" s="57"/>
      <c r="B978" s="57"/>
      <c r="C978" s="57"/>
      <c r="D978" s="57"/>
      <c r="E978" s="57"/>
      <c r="F978" s="57"/>
      <c r="G978" s="57"/>
      <c r="H978" s="57"/>
      <c r="I978" s="57"/>
      <c r="J978" s="57"/>
      <c r="K978" s="57"/>
      <c r="L978" s="57"/>
    </row>
    <row r="979" spans="1:12" x14ac:dyDescent="0.25">
      <c r="A979" s="57"/>
      <c r="B979" s="57"/>
      <c r="C979" s="57"/>
      <c r="D979" s="57"/>
      <c r="E979" s="57"/>
      <c r="F979" s="57"/>
      <c r="G979" s="57"/>
      <c r="H979" s="57"/>
      <c r="I979" s="57"/>
      <c r="J979" s="57"/>
      <c r="K979" s="57"/>
      <c r="L979" s="57"/>
    </row>
    <row r="980" spans="1:12" x14ac:dyDescent="0.25">
      <c r="A980" s="57"/>
      <c r="B980" s="57"/>
      <c r="C980" s="57"/>
      <c r="D980" s="57"/>
      <c r="E980" s="57"/>
      <c r="F980" s="57"/>
      <c r="G980" s="57"/>
      <c r="H980" s="57"/>
      <c r="I980" s="57"/>
      <c r="J980" s="57"/>
      <c r="K980" s="57"/>
      <c r="L980" s="57"/>
    </row>
    <row r="981" spans="1:12" x14ac:dyDescent="0.25">
      <c r="A981" s="57"/>
      <c r="B981" s="57"/>
      <c r="C981" s="57"/>
      <c r="D981" s="57"/>
      <c r="E981" s="57"/>
      <c r="F981" s="57"/>
      <c r="G981" s="57"/>
      <c r="H981" s="57"/>
      <c r="I981" s="57"/>
      <c r="J981" s="57"/>
      <c r="K981" s="57"/>
      <c r="L981" s="57"/>
    </row>
    <row r="982" spans="1:12" x14ac:dyDescent="0.25">
      <c r="A982" s="57"/>
      <c r="B982" s="57"/>
      <c r="C982" s="57"/>
      <c r="D982" s="57"/>
      <c r="E982" s="57"/>
      <c r="F982" s="57"/>
      <c r="G982" s="57"/>
      <c r="H982" s="57"/>
      <c r="I982" s="57"/>
      <c r="J982" s="57"/>
      <c r="K982" s="57"/>
      <c r="L982" s="57"/>
    </row>
    <row r="983" spans="1:12" x14ac:dyDescent="0.25">
      <c r="A983" s="57"/>
      <c r="B983" s="57"/>
      <c r="C983" s="57"/>
      <c r="D983" s="57"/>
      <c r="E983" s="57"/>
      <c r="F983" s="57"/>
      <c r="G983" s="57"/>
      <c r="H983" s="57"/>
      <c r="I983" s="57"/>
      <c r="J983" s="57"/>
      <c r="K983" s="57"/>
      <c r="L983" s="57"/>
    </row>
    <row r="984" spans="1:12" x14ac:dyDescent="0.25">
      <c r="A984" s="57"/>
      <c r="B984" s="57"/>
      <c r="C984" s="57"/>
      <c r="D984" s="57"/>
      <c r="E984" s="57"/>
      <c r="F984" s="57"/>
      <c r="G984" s="57"/>
      <c r="H984" s="57"/>
      <c r="I984" s="57"/>
      <c r="J984" s="57"/>
      <c r="K984" s="57"/>
      <c r="L984" s="57"/>
    </row>
    <row r="985" spans="1:12" x14ac:dyDescent="0.25">
      <c r="A985" s="57"/>
      <c r="B985" s="57"/>
      <c r="C985" s="57"/>
      <c r="D985" s="57"/>
      <c r="E985" s="57"/>
      <c r="F985" s="57"/>
      <c r="G985" s="57"/>
      <c r="H985" s="57"/>
      <c r="I985" s="57"/>
      <c r="J985" s="57"/>
      <c r="K985" s="57"/>
      <c r="L985" s="57"/>
    </row>
    <row r="986" spans="1:12" x14ac:dyDescent="0.25">
      <c r="A986" s="57"/>
      <c r="B986" s="57"/>
      <c r="C986" s="57"/>
      <c r="D986" s="57"/>
      <c r="E986" s="57"/>
      <c r="F986" s="57"/>
      <c r="G986" s="57"/>
      <c r="H986" s="57"/>
      <c r="I986" s="57"/>
      <c r="J986" s="57"/>
      <c r="K986" s="57"/>
      <c r="L986" s="57"/>
    </row>
    <row r="987" spans="1:12" x14ac:dyDescent="0.25">
      <c r="A987" s="57"/>
      <c r="B987" s="57"/>
      <c r="C987" s="57"/>
      <c r="D987" s="57"/>
      <c r="E987" s="57"/>
      <c r="F987" s="57"/>
      <c r="G987" s="57"/>
      <c r="H987" s="57"/>
      <c r="I987" s="57"/>
      <c r="J987" s="57"/>
      <c r="K987" s="57"/>
      <c r="L987" s="57"/>
    </row>
    <row r="988" spans="1:12" x14ac:dyDescent="0.25">
      <c r="A988" s="57"/>
      <c r="B988" s="57"/>
      <c r="C988" s="57"/>
      <c r="D988" s="57"/>
      <c r="E988" s="57"/>
      <c r="F988" s="57"/>
      <c r="G988" s="57"/>
      <c r="H988" s="57"/>
      <c r="I988" s="57"/>
      <c r="J988" s="57"/>
      <c r="K988" s="57"/>
      <c r="L988" s="57"/>
    </row>
    <row r="989" spans="1:12" x14ac:dyDescent="0.25">
      <c r="A989" s="57"/>
      <c r="B989" s="57"/>
      <c r="C989" s="57"/>
      <c r="D989" s="57"/>
      <c r="E989" s="57"/>
      <c r="F989" s="57"/>
      <c r="G989" s="57"/>
      <c r="H989" s="57"/>
      <c r="I989" s="57"/>
      <c r="J989" s="57"/>
      <c r="K989" s="57"/>
      <c r="L989" s="57"/>
    </row>
    <row r="990" spans="1:12" x14ac:dyDescent="0.25">
      <c r="A990" s="57"/>
      <c r="B990" s="57"/>
      <c r="C990" s="57"/>
      <c r="D990" s="57"/>
      <c r="E990" s="57"/>
      <c r="F990" s="57"/>
      <c r="G990" s="57"/>
      <c r="H990" s="57"/>
      <c r="I990" s="57"/>
      <c r="J990" s="57"/>
      <c r="K990" s="57"/>
      <c r="L990" s="57"/>
    </row>
    <row r="991" spans="1:12" x14ac:dyDescent="0.25">
      <c r="A991" s="57"/>
      <c r="B991" s="57"/>
      <c r="C991" s="57"/>
      <c r="D991" s="57"/>
      <c r="E991" s="57"/>
      <c r="F991" s="57"/>
      <c r="G991" s="57"/>
      <c r="H991" s="57"/>
      <c r="I991" s="57"/>
      <c r="J991" s="57"/>
      <c r="K991" s="57"/>
      <c r="L991" s="57"/>
    </row>
    <row r="992" spans="1:12" x14ac:dyDescent="0.25">
      <c r="A992" s="57"/>
      <c r="B992" s="57"/>
      <c r="C992" s="57"/>
      <c r="D992" s="57"/>
      <c r="E992" s="57"/>
      <c r="F992" s="57"/>
      <c r="G992" s="57"/>
      <c r="H992" s="57"/>
      <c r="I992" s="57"/>
      <c r="J992" s="57"/>
      <c r="K992" s="57"/>
      <c r="L992" s="57"/>
    </row>
    <row r="993" spans="1:12" x14ac:dyDescent="0.25">
      <c r="A993" s="57"/>
      <c r="B993" s="57"/>
      <c r="C993" s="57"/>
      <c r="D993" s="57"/>
      <c r="E993" s="57"/>
      <c r="F993" s="57"/>
      <c r="G993" s="57"/>
      <c r="H993" s="57"/>
      <c r="I993" s="57"/>
      <c r="J993" s="57"/>
      <c r="K993" s="57"/>
      <c r="L993" s="57"/>
    </row>
    <row r="994" spans="1:12" x14ac:dyDescent="0.25">
      <c r="A994" s="57"/>
      <c r="B994" s="57"/>
      <c r="C994" s="57"/>
      <c r="D994" s="57"/>
      <c r="E994" s="57"/>
      <c r="F994" s="57"/>
      <c r="G994" s="57"/>
      <c r="H994" s="57"/>
      <c r="I994" s="57"/>
      <c r="J994" s="57"/>
      <c r="K994" s="57"/>
      <c r="L994" s="57"/>
    </row>
    <row r="995" spans="1:12" x14ac:dyDescent="0.25">
      <c r="A995" s="57"/>
      <c r="B995" s="57"/>
      <c r="C995" s="57"/>
      <c r="D995" s="57"/>
      <c r="E995" s="57"/>
      <c r="F995" s="57"/>
      <c r="G995" s="57"/>
      <c r="H995" s="57"/>
      <c r="I995" s="57"/>
      <c r="J995" s="57"/>
      <c r="K995" s="57"/>
      <c r="L995" s="57"/>
    </row>
    <row r="996" spans="1:12" x14ac:dyDescent="0.25">
      <c r="A996" s="57"/>
      <c r="B996" s="57"/>
      <c r="C996" s="57"/>
      <c r="D996" s="57"/>
      <c r="E996" s="57"/>
      <c r="F996" s="57"/>
      <c r="G996" s="57"/>
      <c r="H996" s="57"/>
      <c r="I996" s="57"/>
      <c r="J996" s="57"/>
      <c r="K996" s="57"/>
      <c r="L996" s="57"/>
    </row>
    <row r="997" spans="1:12" x14ac:dyDescent="0.25">
      <c r="A997" s="57"/>
      <c r="B997" s="57"/>
      <c r="C997" s="57"/>
      <c r="D997" s="57"/>
      <c r="E997" s="57"/>
      <c r="F997" s="57"/>
      <c r="G997" s="57"/>
      <c r="H997" s="57"/>
      <c r="I997" s="57"/>
      <c r="J997" s="57"/>
      <c r="K997" s="57"/>
      <c r="L997" s="57"/>
    </row>
    <row r="998" spans="1:12" x14ac:dyDescent="0.25">
      <c r="A998" s="57"/>
      <c r="B998" s="57"/>
      <c r="C998" s="57"/>
      <c r="D998" s="57"/>
      <c r="E998" s="57"/>
      <c r="F998" s="57"/>
      <c r="G998" s="57"/>
      <c r="H998" s="57"/>
      <c r="I998" s="57"/>
      <c r="J998" s="57"/>
      <c r="K998" s="57"/>
      <c r="L998" s="57"/>
    </row>
    <row r="999" spans="1:12" x14ac:dyDescent="0.25">
      <c r="A999" s="57"/>
      <c r="B999" s="57"/>
      <c r="C999" s="57"/>
      <c r="D999" s="57"/>
      <c r="E999" s="57"/>
      <c r="F999" s="57"/>
      <c r="G999" s="57"/>
      <c r="H999" s="57"/>
      <c r="I999" s="57"/>
      <c r="J999" s="57"/>
      <c r="K999" s="57"/>
      <c r="L999" s="57"/>
    </row>
    <row r="1000" spans="1:12" x14ac:dyDescent="0.25">
      <c r="A1000" s="57"/>
      <c r="B1000" s="57"/>
      <c r="C1000" s="57"/>
      <c r="D1000" s="57"/>
      <c r="E1000" s="57"/>
      <c r="F1000" s="57"/>
      <c r="G1000" s="57"/>
      <c r="H1000" s="57"/>
      <c r="I1000" s="57"/>
      <c r="J1000" s="57"/>
      <c r="K1000" s="57"/>
      <c r="L1000" s="57"/>
    </row>
  </sheetData>
  <autoFilter ref="A5:G449" xr:uid="{00000000-0009-0000-0000-000000000000}"/>
  <mergeCells count="1">
    <mergeCell ref="A4:G4"/>
  </mergeCells>
  <hyperlinks>
    <hyperlink ref="G6" display="Analisar jogo" xr:uid="{78BDE884-FB3C-4321-A882-AAA066EDC75C}"/>
    <hyperlink ref="G7" display="Analisar jogo" xr:uid="{16273070-C11C-4963-8089-DA258E5AD79D}"/>
    <hyperlink ref="G8" display="Analisar jogo" xr:uid="{4DF5FC73-1544-4B34-AC8F-82B7C8F3DC5E}"/>
    <hyperlink ref="G9" display="Analisar jogo" xr:uid="{6B38614E-CDE7-4048-9CFF-FF0A9EF10D96}"/>
    <hyperlink ref="G10" display="Analisar jogo" xr:uid="{BD4624CC-D93A-4D17-85BD-8C8549026780}"/>
    <hyperlink ref="G11" display="Analisar jogo" xr:uid="{77CF85B2-A601-47C8-93D3-9B09EB1B51C9}"/>
    <hyperlink ref="G12" display="Analisar jogo" xr:uid="{C792FDA8-3F32-4F26-A200-5951A74EA005}"/>
    <hyperlink ref="G13" display="Analisar jogo" xr:uid="{C8A2521E-DEA7-48F9-9FEA-D005354C28E2}"/>
    <hyperlink ref="G14" display="Analisar jogo" xr:uid="{C72B7BF7-67E7-4055-BCE0-C0F8687ECEC5}"/>
    <hyperlink ref="G15" display="Analisar jogo" xr:uid="{F8DCB14B-3259-4151-8E4B-20B26EF8F079}"/>
    <hyperlink ref="G16" display="Analisar jogo" xr:uid="{F34DD323-6E07-43D6-8056-8C624B22B756}"/>
    <hyperlink ref="G17" display="Analisar jogo" xr:uid="{23DE81C1-289E-4A8E-9C32-CDA92C8CACA7}"/>
    <hyperlink ref="G18" display="Analisar jogo" xr:uid="{F8C6AD35-9CA7-4BE8-80EF-4F4FD5057F79}"/>
    <hyperlink ref="G19" display="Analisar jogo" xr:uid="{59962EF7-E11E-4842-B3F4-178B97D6BCF4}"/>
    <hyperlink ref="G20" display="Analisar jogo" xr:uid="{FB084070-8EEE-48EE-95A4-08A38CD0A974}"/>
    <hyperlink ref="G21" display="Analisar jogo" xr:uid="{A74CB5B6-04B4-4716-993F-15D752AF4CFF}"/>
    <hyperlink ref="G22" display="Analisar jogo" xr:uid="{B8DD7F52-1E3B-434F-8781-022116744FC0}"/>
    <hyperlink ref="G23" display="Analisar jogo" xr:uid="{D34FC449-0090-4DCF-96C8-A6749A544060}"/>
    <hyperlink ref="G24" display="Analisar jogo" xr:uid="{1CEB3FF1-C1AD-4CEA-B8FF-C9C698FAF003}"/>
    <hyperlink ref="G25" display="Analisar jogo" xr:uid="{85D1E805-146A-47C9-91B8-A574D7FAEE63}"/>
    <hyperlink ref="G26" display="Analisar jogo" xr:uid="{18ED8D2E-9762-4FA6-B906-7B8A7CDFDAA7}"/>
    <hyperlink ref="G27" display="Analisar jogo" xr:uid="{1D39A1BE-76E7-48B0-BEED-D7C2F3A2850D}"/>
    <hyperlink ref="G28" display="Analisar jogo" xr:uid="{D0DCE8EB-8B68-46EF-A0DE-1C67ABB366D1}"/>
    <hyperlink ref="G29" display="Analisar jogo" xr:uid="{67F5A94D-62AB-48CA-931F-EFFC282ED446}"/>
    <hyperlink ref="G30" display="Analisar jogo" xr:uid="{8FB42D0F-C8A6-4FF1-81E9-B51FB3E65441}"/>
    <hyperlink ref="G31" display="Analisar jogo" xr:uid="{D5AF60E8-3BC5-46BA-BE44-80064A9707B6}"/>
    <hyperlink ref="G32" display="Analisar jogo" xr:uid="{1FBD0E9B-C124-46BF-8983-CF5F671845F9}"/>
    <hyperlink ref="G33" display="Analisar jogo" xr:uid="{13F89889-E32B-4AC5-9365-3F6538DD735C}"/>
    <hyperlink ref="G34" display="Analisar jogo" xr:uid="{3CC37D6D-FDF9-4F04-95CA-8727D46BBB0E}"/>
    <hyperlink ref="G35" display="Analisar jogo" xr:uid="{433808BF-D219-4B6D-B509-8CE56BDF8F9E}"/>
    <hyperlink ref="G36" display="Analisar jogo" xr:uid="{A99E1BF0-EEC9-4EAF-8B51-603BA13C3525}"/>
    <hyperlink ref="G37" display="Analisar jogo" xr:uid="{AD728647-1B87-4E11-AA3E-610FEE793D5F}"/>
    <hyperlink ref="G38" display="Analisar jogo" xr:uid="{2C3F96B5-F3F0-46DC-9927-8C580ED07DA4}"/>
    <hyperlink ref="G39" display="Analisar jogo" xr:uid="{D9C1051E-A28D-4A26-BFC2-499C71FA22CF}"/>
    <hyperlink ref="G40" display="Analisar jogo" xr:uid="{0270DEE4-1417-46FE-BA4C-7CB5ED069792}"/>
    <hyperlink ref="G41" display="Analisar jogo" xr:uid="{0F4DFF9E-ECB5-48C8-A4EF-5EEDA80CE7D2}"/>
    <hyperlink ref="G42" display="Analisar jogo" xr:uid="{939E6ED2-08C1-4382-AC16-432A0135A72F}"/>
    <hyperlink ref="G43" display="Analisar jogo" xr:uid="{A81B767E-1D7A-4972-83D9-ED980A2A5D68}"/>
    <hyperlink ref="G44" display="Analisar jogo" xr:uid="{D18E68EA-D5AB-495A-BFD8-50274D415589}"/>
    <hyperlink ref="G45" display="Analisar jogo" xr:uid="{9A775CBF-654B-48E2-93CA-C949C872D4D9}"/>
    <hyperlink ref="G46" display="Analisar jogo" xr:uid="{829BBABE-1955-4D07-9FC3-854DD0AEBD49}"/>
    <hyperlink ref="G47" display="Analisar jogo" xr:uid="{E6A9379A-F696-435D-8159-B1C4E06B8EEF}"/>
    <hyperlink ref="G48" display="Analisar jogo" xr:uid="{20618A63-4122-4A35-9A4F-B6E3AA3A9F00}"/>
    <hyperlink ref="G49" display="Analisar jogo" xr:uid="{10B8B5AA-235F-416E-8384-DD0DB9A5428E}"/>
    <hyperlink ref="G50" display="Analisar jogo" xr:uid="{017639EA-6FB4-44D4-828C-E647613A14FD}"/>
    <hyperlink ref="G51" display="Analisar jogo" xr:uid="{6FEFDD76-8A0B-47A5-B722-11A75B66AB07}"/>
    <hyperlink ref="G52" display="Analisar jogo" xr:uid="{A398E3A9-7538-431F-8091-CEF1DF20249E}"/>
    <hyperlink ref="G53" display="Analisar jogo" xr:uid="{E312F25F-5A9C-496C-A7E4-9B3BE986A122}"/>
    <hyperlink ref="G54" display="Analisar jogo" xr:uid="{83EA63F8-ED6D-4396-8D48-93C11DCE32A8}"/>
    <hyperlink ref="G55" display="Analisar jogo" xr:uid="{E9B50D6D-6EE4-4831-AA6D-0D5E3F9BD548}"/>
    <hyperlink ref="G56" display="Analisar jogo" xr:uid="{6C4BD0DC-6912-4B69-8C49-A1564E7E10E5}"/>
    <hyperlink ref="G57" display="Analisar jogo" xr:uid="{E0C66D1E-7428-4324-8737-1FA51CD2972F}"/>
    <hyperlink ref="G58" display="Analisar jogo" xr:uid="{821B11F5-A6B9-4CD8-8F27-457039758E35}"/>
    <hyperlink ref="G59" display="Analisar jogo" xr:uid="{147C18B2-3493-4BBA-B1C1-98BB2C83D7FA}"/>
    <hyperlink ref="G60" display="Analisar jogo" xr:uid="{AF5C4DE3-3C24-4EBA-8397-5F380FC05A0D}"/>
    <hyperlink ref="G61" display="Analisar jogo" xr:uid="{E942DC5C-A70A-4A75-AB03-D28A5220EA34}"/>
    <hyperlink ref="G62" display="Analisar jogo" xr:uid="{282943F5-3A29-4871-882E-B00CA413DEA6}"/>
    <hyperlink ref="G63" display="Analisar jogo" xr:uid="{67A0D3FD-31F3-4E13-BA19-848D72B2283C}"/>
    <hyperlink ref="G64" display="Analisar jogo" xr:uid="{2BFFD782-A5D4-43D9-96CA-9A697FB4E257}"/>
    <hyperlink ref="G65" display="Analisar jogo" xr:uid="{C60E96A7-4A86-441F-8533-96F8B30EC457}"/>
    <hyperlink ref="G66" display="Analisar jogo" xr:uid="{51B2EE9C-487F-42BB-9AB5-BA2D05DC8412}"/>
    <hyperlink ref="G67" display="Analisar jogo" xr:uid="{7909982C-3351-4D67-B8C8-5916FC87B51D}"/>
    <hyperlink ref="G68" display="Analisar jogo" xr:uid="{E81388F1-D92F-4D91-B864-7F1821C93C4C}"/>
    <hyperlink ref="G69" display="Analisar jogo" xr:uid="{317692BE-CD59-4C59-9076-C623DD271F2D}"/>
    <hyperlink ref="G70" display="Analisar jogo" xr:uid="{A952CBE8-BB20-409E-920D-DF6BD671C646}"/>
    <hyperlink ref="G71" display="Analisar jogo" xr:uid="{4CEDFF9E-98E8-45DC-89A8-13CCBCDC7AFA}"/>
    <hyperlink ref="G72" display="Analisar jogo" xr:uid="{3AD3849D-3FEB-473D-8D9E-C778C5ECB0FE}"/>
    <hyperlink ref="G73" display="Analisar jogo" xr:uid="{07536DD8-BA42-4E1D-A140-F32BB4653520}"/>
    <hyperlink ref="G74" display="Analisar jogo" xr:uid="{4939F066-A907-46BE-B9A5-D43B96D8E1AC}"/>
    <hyperlink ref="G75" display="Analisar jogo" xr:uid="{E42F8246-6706-4A65-A8C3-8B67218B012F}"/>
    <hyperlink ref="G76" display="Analisar jogo" xr:uid="{83749C7B-214B-476C-886A-53445B842EF2}"/>
    <hyperlink ref="G77" display="Analisar jogo" xr:uid="{5702747F-063C-445E-AF7A-6D9BC6F132C2}"/>
    <hyperlink ref="G78" display="Analisar jogo" xr:uid="{054BD771-5090-4238-8E2D-887289B70649}"/>
    <hyperlink ref="G79" display="Analisar jogo" xr:uid="{B7AD4F03-F564-4EF7-9DE9-4CD6E768D6BE}"/>
    <hyperlink ref="G80" display="Analisar jogo" xr:uid="{DB58100D-4727-4026-AC11-E1400BB9A833}"/>
    <hyperlink ref="G81" display="Analisar jogo" xr:uid="{07052C5C-BD12-490D-9CED-3A7940F13F1C}"/>
    <hyperlink ref="G82" display="Analisar jogo" xr:uid="{522841BD-A388-4114-98D0-D4A82458B1C7}"/>
    <hyperlink ref="G83" display="Analisar jogo" xr:uid="{3EA31DBF-9968-4A4D-8462-58B0B50BB541}"/>
    <hyperlink ref="G84" display="Analisar jogo" xr:uid="{C7799109-8B73-4C55-9FCD-68A7DF9C88E3}"/>
    <hyperlink ref="G85" display="Analisar jogo" xr:uid="{B4BA2E62-7FA0-42CA-81A4-B5B4DED573F8}"/>
    <hyperlink ref="G86" display="Analisar jogo" xr:uid="{E331D51A-EF4B-4155-805E-FC60A61B1D5B}"/>
    <hyperlink ref="G87" display="Analisar jogo" xr:uid="{53C00884-95F8-4B1C-B30E-DE870A627198}"/>
    <hyperlink ref="G88" display="Analisar jogo" xr:uid="{380BCBB2-02FD-435F-87B5-CD1B51F6F9E8}"/>
    <hyperlink ref="G89" display="Analisar jogo" xr:uid="{DB66F919-5F09-4EE6-A9C7-1F4348A247E1}"/>
    <hyperlink ref="G90" display="Analisar jogo" xr:uid="{FE8E5AA7-DD6D-4261-8E31-A20792814BB2}"/>
    <hyperlink ref="G91" display="Analisar jogo" xr:uid="{D074BC40-C6B2-4281-92C5-D8E10E935AF6}"/>
    <hyperlink ref="G92" display="Analisar jogo" xr:uid="{705DAE80-73DB-4F64-AE69-27397F4DC371}"/>
    <hyperlink ref="G93" display="Analisar jogo" xr:uid="{B8D416E6-5556-4CDB-8BE5-D261C52FFE26}"/>
    <hyperlink ref="G94" display="Analisar jogo" xr:uid="{6163A8D5-DDB1-474A-9F6A-C59E73F417D6}"/>
    <hyperlink ref="G95" display="Analisar jogo" xr:uid="{2A1BCCAB-85FB-451A-B77C-9B16B7C4C9CF}"/>
    <hyperlink ref="G96" display="Analisar jogo" xr:uid="{82F6F6B6-E433-4790-BC5A-BC6BEEC6D51A}"/>
    <hyperlink ref="G97" display="Analisar jogo" xr:uid="{5C103423-BCB2-4CBB-A97B-875D0EF63389}"/>
    <hyperlink ref="G98" display="Analisar jogo" xr:uid="{F1B8E1D7-4C68-4F26-84F5-FDB0AEFC612C}"/>
    <hyperlink ref="G99" display="Analisar jogo" xr:uid="{2B5D9237-0D4B-47E6-8B19-38969A568D39}"/>
    <hyperlink ref="G100" display="Analisar jogo" xr:uid="{069E5D72-1694-42EB-8F33-DA13FDC8FCBB}"/>
    <hyperlink ref="G101" display="Analisar jogo" xr:uid="{27DE07A5-2CCF-4CC8-A0A7-8AADB3130206}"/>
    <hyperlink ref="G102" display="Analisar jogo" xr:uid="{CD5B0134-9BA3-4D0C-8037-882DB23FB5F9}"/>
    <hyperlink ref="G103" display="Analisar jogo" xr:uid="{11FCEE0D-84D2-4381-BE1B-83BB9A3BB87D}"/>
    <hyperlink ref="G104" display="Analisar jogo" xr:uid="{656E9784-6C19-42D9-A8F7-4B263C84F197}"/>
    <hyperlink ref="G105" display="Analisar jogo" xr:uid="{A8DBFCAF-B3FF-4B93-9486-4A4821290C25}"/>
    <hyperlink ref="G106" display="Analisar jogo" xr:uid="{2ACCF340-2A06-43E8-AA51-0488FDCD5D31}"/>
    <hyperlink ref="G107" display="Analisar jogo" xr:uid="{AEC9292F-CB40-4D7F-9E53-7A8986A316F3}"/>
    <hyperlink ref="G108" display="Analisar jogo" xr:uid="{3C93B31D-BB9F-4220-9360-F40BE2FAA724}"/>
    <hyperlink ref="G109" display="Analisar jogo" xr:uid="{96B61D7D-89D1-4FA3-9918-19476856BC58}"/>
    <hyperlink ref="G110" display="Analisar jogo" xr:uid="{8C590643-537A-46A5-8911-EA2A8E144E6C}"/>
    <hyperlink ref="G111" display="Analisar jogo" xr:uid="{EE7970B0-69B0-49E3-A79D-03EBFD8EDD26}"/>
    <hyperlink ref="G112" display="Analisar jogo" xr:uid="{8FFFFA86-AE84-465E-8E68-936B596C2932}"/>
    <hyperlink ref="G113" display="Analisar jogo" xr:uid="{DD408845-6CE4-46A9-8071-4AEE4E4A561F}"/>
    <hyperlink ref="G114" display="Analisar jogo" xr:uid="{56494323-9E5E-4A0B-BC00-5181C1527EEA}"/>
    <hyperlink ref="G115" display="Analisar jogo" xr:uid="{DD7810B1-7392-42DD-98F4-664E2E0AB058}"/>
    <hyperlink ref="G116" display="Analisar jogo" xr:uid="{DADD2154-A186-4AED-9602-DA4EF0808ED0}"/>
    <hyperlink ref="G117" display="Analisar jogo" xr:uid="{E219F57A-FCB5-4BD1-89D7-7C93CD6CB73C}"/>
    <hyperlink ref="G118" display="Analisar jogo" xr:uid="{D88CD05F-92B7-48AF-98AB-6948C1A78B9C}"/>
    <hyperlink ref="G119" display="Analisar jogo" xr:uid="{3CFA99D3-3A0E-4592-8E63-AE8E319110AD}"/>
    <hyperlink ref="G120" display="Analisar jogo" xr:uid="{1F2A36ED-ED69-4DD6-BE48-6D784CB8DC7A}"/>
    <hyperlink ref="G121" display="Analisar jogo" xr:uid="{F60082F2-E346-4F26-BC77-BD06FB6E62F9}"/>
    <hyperlink ref="G122" display="Analisar jogo" xr:uid="{BE985B98-71B8-468E-A0C5-197FDF18004F}"/>
    <hyperlink ref="G123" display="Analisar jogo" xr:uid="{AA91057B-667F-4097-BE67-2E753D6900E0}"/>
    <hyperlink ref="G124" display="Analisar jogo" xr:uid="{D0D2C777-9285-4D69-90D7-4CFE75FDCD88}"/>
    <hyperlink ref="G125" display="Analisar jogo" xr:uid="{F5BA5A30-2B52-4FCD-A208-C2586E353EB0}"/>
    <hyperlink ref="G126" display="Analisar jogo" xr:uid="{D0D53ADD-4BF1-4701-9B3C-FE61A30D8146}"/>
    <hyperlink ref="G127" display="Analisar jogo" xr:uid="{825F0F30-AD32-452C-BE1B-49D9B7E441E7}"/>
    <hyperlink ref="G128" display="Analisar jogo" xr:uid="{9E648A1F-85B9-4DCE-96E3-88F2BB482D6E}"/>
    <hyperlink ref="G129" display="Analisar jogo" xr:uid="{978A1579-638C-4CF6-A4E3-5A103C903F8E}"/>
    <hyperlink ref="G130" display="Analisar jogo" xr:uid="{0A707733-C2AE-4582-A44A-3D0F61A79BE7}"/>
    <hyperlink ref="G131" display="Analisar jogo" xr:uid="{22365AF0-8A16-422F-9BD2-787D0B2EED60}"/>
    <hyperlink ref="G132" display="Analisar jogo" xr:uid="{948D298D-AF49-45C2-A99C-D39954208BCB}"/>
    <hyperlink ref="G133" display="Analisar jogo" xr:uid="{D8B7D15C-2232-40EF-A803-2DCD101BF567}"/>
    <hyperlink ref="G134" display="Analisar jogo" xr:uid="{F7F5039B-AE45-4C4A-800A-ADAC2615D800}"/>
    <hyperlink ref="G135" display="Analisar jogo" xr:uid="{1AEA2657-71B8-4308-AA8B-CBCE81650080}"/>
    <hyperlink ref="G136" display="Analisar jogo" xr:uid="{22A81AC2-0323-4868-A6D4-FBE19B9774EE}"/>
    <hyperlink ref="G137" display="Analisar jogo" xr:uid="{9E587F66-DDBD-43C9-A644-C071F0603676}"/>
    <hyperlink ref="G138" display="Analisar jogo" xr:uid="{F4CE3F6D-4EA7-4994-9A2F-EF5112766FB8}"/>
    <hyperlink ref="G139" display="Analisar jogo" xr:uid="{F2428005-7F7A-43B8-9814-DEDF5CE2EEE7}"/>
    <hyperlink ref="G140" display="Analisar jogo" xr:uid="{2255E132-FF13-495C-9727-DBD0958CC7E3}"/>
    <hyperlink ref="G141" display="Analisar jogo" xr:uid="{6759CC81-6AB5-4F01-A1FC-613858A7A395}"/>
    <hyperlink ref="G142" display="Analisar jogo" xr:uid="{D9B0C7DA-8B0F-43F1-B28E-6D1FA80B96BB}"/>
    <hyperlink ref="G143" display="Analisar jogo" xr:uid="{6BAF6CDF-B7AD-4DA0-9EA0-1B5029715EF7}"/>
    <hyperlink ref="G144" display="Analisar jogo" xr:uid="{7D623AE1-047F-40A0-BC93-558B97747D60}"/>
    <hyperlink ref="G145" display="Analisar jogo" xr:uid="{FE7F2E7C-8EC5-4691-87D7-C05B8587FDF1}"/>
    <hyperlink ref="G146" display="Analisar jogo" xr:uid="{D4F95CAC-DC27-4D5C-B06E-310FA3B28C91}"/>
    <hyperlink ref="G147" display="Analisar jogo" xr:uid="{A6E3FBB6-E816-49C1-95EC-42A483EE687D}"/>
    <hyperlink ref="G148" display="Analisar jogo" xr:uid="{A27B5665-4716-465C-ABC0-C6B58D279C98}"/>
    <hyperlink ref="G149" display="Analisar jogo" xr:uid="{89937CFB-6861-4408-897B-87C433374CA6}"/>
    <hyperlink ref="G150" display="Analisar jogo" xr:uid="{BB3F94AE-E80B-4DE2-A556-F610DCBDBE22}"/>
    <hyperlink ref="G151" display="Analisar jogo" xr:uid="{BDF0F358-8AA4-4E93-B566-7943C070E6C3}"/>
    <hyperlink ref="G152" display="Analisar jogo" xr:uid="{284D1340-6703-49FF-ACF6-FBEF2913A4FB}"/>
    <hyperlink ref="G153" display="Analisar jogo" xr:uid="{0E1BFD53-606F-4C74-BD80-218FE1F62B89}"/>
    <hyperlink ref="G154" display="Analisar jogo" xr:uid="{5A9E1DC9-64A9-4AB7-9263-462BF2A7B5F3}"/>
    <hyperlink ref="G155" display="Analisar jogo" xr:uid="{C607B9C2-7764-497A-BB3C-729B8314A057}"/>
    <hyperlink ref="G156" display="Analisar jogo" xr:uid="{81D14C31-FF1A-4C32-9D97-EFC3D5E329D4}"/>
    <hyperlink ref="G157" display="Analisar jogo" xr:uid="{6C69977E-DA32-453F-A638-DFF05A4F5296}"/>
    <hyperlink ref="G158" display="Analisar jogo" xr:uid="{D3CD6B77-4FD6-42C8-87A6-ADC751AA9C90}"/>
    <hyperlink ref="G159" display="Analisar jogo" xr:uid="{2C977C82-770E-493E-82E7-03EF090C2209}"/>
    <hyperlink ref="G160" display="Analisar jogo" xr:uid="{26C4ED16-4FB9-43C4-9512-8454CF218A38}"/>
    <hyperlink ref="G161" display="Analisar jogo" xr:uid="{085607D2-13AF-42DC-98A3-21F724F08149}"/>
    <hyperlink ref="G162" display="Analisar jogo" xr:uid="{644D17B9-CB1B-467B-B290-F9708F0D0149}"/>
    <hyperlink ref="G163" display="Analisar jogo" xr:uid="{4D472AA8-8A76-4035-917C-9AB28210A87F}"/>
    <hyperlink ref="G164" display="Analisar jogo" xr:uid="{44DED6E5-7FDD-4B18-A0A5-81C426733ABB}"/>
    <hyperlink ref="G165" display="Analisar jogo" xr:uid="{CCD3521D-D349-431D-AD09-7C5E03642A4F}"/>
    <hyperlink ref="G166" display="Analisar jogo" xr:uid="{E2DA2D08-8D7B-4CB4-BA65-667761DDBD40}"/>
    <hyperlink ref="G167" display="Analisar jogo" xr:uid="{872DF667-9197-4176-9E18-4503EB44A7F0}"/>
    <hyperlink ref="G168" display="Analisar jogo" xr:uid="{A8CB68DB-3A09-456A-BDCA-CCD5727A99E8}"/>
    <hyperlink ref="G169" display="Analisar jogo" xr:uid="{8ECCC96D-07C5-4794-8CF8-DD9B8A567461}"/>
    <hyperlink ref="G170" display="Analisar jogo" xr:uid="{914928F6-C2B7-4807-8B3A-34A770D2CE6D}"/>
    <hyperlink ref="G171" display="Analisar jogo" xr:uid="{CE8CFEFB-82CE-424F-9F55-6DB3FFE72956}"/>
    <hyperlink ref="G172" display="Analisar jogo" xr:uid="{E80C3737-5004-4B1B-8C15-EF27EF53FBFB}"/>
    <hyperlink ref="G173" display="Analisar jogo" xr:uid="{FA5EACC2-6A0F-49EF-ADE0-9261D7445A76}"/>
    <hyperlink ref="G174" display="Analisar jogo" xr:uid="{9D47DC53-DB0D-41B3-A16B-9A6BF449F1BC}"/>
    <hyperlink ref="G175" display="Analisar jogo" xr:uid="{7AE6986F-B997-4A38-A912-C262AB265A79}"/>
    <hyperlink ref="G176" display="Analisar jogo" xr:uid="{D76B5B59-6A2C-422B-B4FE-9361F0342D18}"/>
    <hyperlink ref="G177" display="Analisar jogo" xr:uid="{6A4E5683-9F99-42ED-97C7-80A491EE3220}"/>
    <hyperlink ref="G178" display="Analisar jogo" xr:uid="{D19591B0-9A96-45E7-89AB-CB9BF912BB1A}"/>
    <hyperlink ref="G179" display="Analisar jogo" xr:uid="{AFD5F3DD-2678-49C0-A967-4E4C6DE3BC3E}"/>
    <hyperlink ref="G180" display="Analisar jogo" xr:uid="{3C12B54C-0EFA-4A02-BFB6-4B38AED72B48}"/>
    <hyperlink ref="G181" display="Analisar jogo" xr:uid="{35A50ADF-2334-4CE8-8AF2-B621E39C7C17}"/>
    <hyperlink ref="G182" display="Analisar jogo" xr:uid="{8792B599-4E7E-48D6-922D-247A5F099A20}"/>
    <hyperlink ref="G183" display="Analisar jogo" xr:uid="{A032F45C-420A-488E-AEC8-4C0E15DE1D22}"/>
    <hyperlink ref="G184" display="Analisar jogo" xr:uid="{8D1F630C-DE96-4F67-BF54-A14B75047DE4}"/>
    <hyperlink ref="G185" display="Analisar jogo" xr:uid="{9AD28068-5D6C-48FC-9038-77B1820D18CB}"/>
    <hyperlink ref="G186" display="Analisar jogo" xr:uid="{FA34DE55-EBE7-4CA2-8A74-E4705AD02BAE}"/>
    <hyperlink ref="G187" display="Analisar jogo" xr:uid="{1F17E50A-39E6-4286-94D3-B37C2AEFE7D4}"/>
    <hyperlink ref="G188" display="Analisar jogo" xr:uid="{4F5D45C4-9918-4E8D-8B4F-C84DCE899862}"/>
    <hyperlink ref="G189" display="Analisar jogo" xr:uid="{7E88BDC6-DA54-446A-BE92-28C8520B2993}"/>
    <hyperlink ref="G190" display="Analisar jogo" xr:uid="{FE352154-18D8-48F6-BD2B-0348137339DC}"/>
    <hyperlink ref="G191" display="Analisar jogo" xr:uid="{B17A8507-C406-46D2-91A2-8D90AD49EE12}"/>
    <hyperlink ref="G192" display="Analisar jogo" xr:uid="{CC3F20C7-1A5E-4E65-9746-FD169A475CCC}"/>
    <hyperlink ref="G193" display="Analisar jogo" xr:uid="{C65934F3-ADDA-430A-AB1C-9831B9430688}"/>
    <hyperlink ref="G194" display="Analisar jogo" xr:uid="{7839E06B-EB9B-42F8-9E40-F06E435F5BFA}"/>
    <hyperlink ref="G195" display="Analisar jogo" xr:uid="{7EE47DD2-5C8E-4E9B-BC19-CC8D2950880E}"/>
    <hyperlink ref="G196" display="Analisar jogo" xr:uid="{11FAC9EF-307D-47D3-83A8-5766099B698D}"/>
    <hyperlink ref="G197" display="Analisar jogo" xr:uid="{8FD74318-088D-4E9D-B997-F9064E07C1AA}"/>
    <hyperlink ref="G198" display="Analisar jogo" xr:uid="{FA23979C-5642-4033-88C4-BCC1BCCA3830}"/>
    <hyperlink ref="G199" display="Analisar jogo" xr:uid="{94BFB039-AF8B-4C17-92D9-0677AE13F1E2}"/>
    <hyperlink ref="G200" display="Analisar jogo" xr:uid="{F7F126AE-556F-4085-BBDF-C0763886EC29}"/>
    <hyperlink ref="G201" display="Analisar jogo" xr:uid="{84FBF870-0921-4D09-BAED-812E7E70F71F}"/>
    <hyperlink ref="G202" display="Analisar jogo" xr:uid="{0B8F7771-BEE2-46D2-8CF3-70C7264D03F5}"/>
    <hyperlink ref="G203" display="Analisar jogo" xr:uid="{CA403D09-206D-441A-843B-E7BB42B3DAC3}"/>
    <hyperlink ref="G204" display="Analisar jogo" xr:uid="{EDA29B89-1D02-48D2-90FE-77EB89F92958}"/>
    <hyperlink ref="G205" display="Analisar jogo" xr:uid="{A6EB1E0B-70C3-45DA-A1B0-645215E8A73A}"/>
    <hyperlink ref="G206" display="Analisar jogo" xr:uid="{EE7B0DE2-23D5-4EC5-98D6-F0E8E672617E}"/>
    <hyperlink ref="G207" display="Analisar jogo" xr:uid="{66730A06-1F08-4DAE-978F-60CB3F8F8E0A}"/>
    <hyperlink ref="G208" display="Analisar jogo" xr:uid="{983DC034-65EF-467B-9C3A-8ACB94B55708}"/>
    <hyperlink ref="G209" display="Analisar jogo" xr:uid="{D42D5AA2-D735-4A0B-AD92-63B4C4C49E2C}"/>
    <hyperlink ref="G210" display="Analisar jogo" xr:uid="{8CD01743-9B44-4B0E-AC82-A3CDC96BFE08}"/>
    <hyperlink ref="G211" display="Analisar jogo" xr:uid="{D63EE04D-5DE2-44DF-A7D2-3C6CC84CF212}"/>
    <hyperlink ref="G212" display="Analisar jogo" xr:uid="{0CF6235B-0271-4383-8B04-5E5081C01F91}"/>
    <hyperlink ref="G213" display="Analisar jogo" xr:uid="{72418FF7-0189-4BBC-BC41-1D24C4334832}"/>
    <hyperlink ref="G214" display="Analisar jogo" xr:uid="{A24EA1AB-98F8-41C2-91DB-FD875ADC7DD8}"/>
    <hyperlink ref="G215" display="Analisar jogo" xr:uid="{510443DF-C6AA-4EF1-8676-B7E3FE18F049}"/>
    <hyperlink ref="G216" display="Analisar jogo" xr:uid="{53559D88-367B-4218-A1A7-33A9A9E4DAFD}"/>
    <hyperlink ref="G217" display="Analisar jogo" xr:uid="{44BE13C6-1ED1-491E-8930-99EE80EBEB14}"/>
    <hyperlink ref="G218" display="Analisar jogo" xr:uid="{1C90574C-C20D-444D-8A30-C6CE5BEAB563}"/>
    <hyperlink ref="G219" display="Analisar jogo" xr:uid="{F925B6B5-823A-4B1D-BD2C-61836764F979}"/>
    <hyperlink ref="G220" display="Analisar jogo" xr:uid="{42BB1802-E9CE-432E-AD8B-2833B9E64415}"/>
    <hyperlink ref="G221" display="Analisar jogo" xr:uid="{5ED7138D-0B23-496B-94E4-925F9C2AB879}"/>
    <hyperlink ref="G222" display="Analisar jogo" xr:uid="{45604759-6224-44C2-B150-2779F7E216E8}"/>
    <hyperlink ref="G223" display="Analisar jogo" xr:uid="{973CF67F-2E0F-4B71-B5EC-B08182447C79}"/>
    <hyperlink ref="G224" display="Analisar jogo" xr:uid="{EC768D2F-C614-42DF-A34F-84FE697B59AA}"/>
    <hyperlink ref="G225" display="Analisar jogo" xr:uid="{5D39E348-4818-465B-8AD2-707B9BA28809}"/>
    <hyperlink ref="G226" display="Analisar jogo" xr:uid="{B93447F9-DA61-4C49-A95C-486E8F3E1E08}"/>
    <hyperlink ref="G227" display="Analisar jogo" xr:uid="{6E654514-66C8-43FA-882D-0E24E0A44F48}"/>
    <hyperlink ref="G228" display="Analisar jogo" xr:uid="{E2145BF1-8236-4527-9E40-372239480138}"/>
    <hyperlink ref="G229" display="Analisar jogo" xr:uid="{67FBF86D-467F-4369-B1E0-BA176EE3BEA8}"/>
    <hyperlink ref="G230" display="Analisar jogo" xr:uid="{7766F660-316C-408D-8B36-5D39E90CF506}"/>
    <hyperlink ref="G231" display="Analisar jogo" xr:uid="{0D661E59-374F-4F72-9BF3-50BA357AD2AA}"/>
    <hyperlink ref="G232" display="Analisar jogo" xr:uid="{D923928B-3319-4AE0-9355-9C308E6FF5D0}"/>
    <hyperlink ref="G233" display="Analisar jogo" xr:uid="{E8ED0B2E-3D3A-4D88-82FC-FDE92F0CDC7D}"/>
    <hyperlink ref="G234" display="Analisar jogo" xr:uid="{F7BAF303-37ED-46B7-9AEB-0A8E784AD212}"/>
    <hyperlink ref="G235" display="Analisar jogo" xr:uid="{39B59161-F102-4CA2-9F09-5B5774365BE5}"/>
    <hyperlink ref="G236" display="Analisar jogo" xr:uid="{FD08A6FE-6EB4-4D05-A807-D0986423C0EF}"/>
    <hyperlink ref="G237" display="Analisar jogo" xr:uid="{4F071243-DA87-4921-B9D3-4D8DE48BBEFC}"/>
    <hyperlink ref="G238" display="Analisar jogo" xr:uid="{99B6B6A9-4EF9-46D1-A864-216949343EF2}"/>
    <hyperlink ref="G239" display="Analisar jogo" xr:uid="{F9F58A44-C99F-4D3B-ACE7-19EC02A0A291}"/>
    <hyperlink ref="G240" display="Analisar jogo" xr:uid="{6638B12C-9565-4DC8-BB0D-B22EA42300A2}"/>
    <hyperlink ref="G241" display="Analisar jogo" xr:uid="{38BD5358-50FF-4B67-AB5A-D392A58549B3}"/>
    <hyperlink ref="G242" display="Analisar jogo" xr:uid="{4DD12938-E609-4C8F-8CB3-171366FA29E4}"/>
    <hyperlink ref="G243" display="Analisar jogo" xr:uid="{46C55CFA-50DA-4FDC-BA01-96618CF89234}"/>
    <hyperlink ref="G244" display="Analisar jogo" xr:uid="{FD6D3455-3D19-4174-A7A5-8C8EA9525DB3}"/>
    <hyperlink ref="G245" display="Analisar jogo" xr:uid="{C423A5BB-3386-4C8E-914E-1BC2C15F5DD2}"/>
    <hyperlink ref="G246" display="Analisar jogo" xr:uid="{953FD27F-D443-4BF9-86B1-4D0236360129}"/>
    <hyperlink ref="G247" display="Analisar jogo" xr:uid="{865B8B0F-E2DD-4D2E-88A2-D109F2C67C6A}"/>
    <hyperlink ref="G248" display="Analisar jogo" xr:uid="{3675FFFF-19DC-4C4E-B4CF-C1EA583119D2}"/>
    <hyperlink ref="G249" display="Analisar jogo" xr:uid="{3D9ABE28-CE84-46AE-8BF8-0BFFCB51EB80}"/>
    <hyperlink ref="G250" display="Analisar jogo" xr:uid="{5D608D0E-F1F3-43E3-AA04-3ACC26665529}"/>
    <hyperlink ref="G251" display="Analisar jogo" xr:uid="{3D5C0CA1-4B68-4415-A29A-5FDD184F3333}"/>
    <hyperlink ref="G252" display="Analisar jogo" xr:uid="{B8AAD4E7-7D75-4EF5-BF7C-AA797D1D7CB9}"/>
    <hyperlink ref="G253" display="Analisar jogo" xr:uid="{E5F7E14B-6005-4943-B0A8-23238C9E367A}"/>
    <hyperlink ref="G254" display="Analisar jogo" xr:uid="{C4E1DB7E-9EA0-4A64-BEBB-5875FB6F3832}"/>
    <hyperlink ref="G255" display="Analisar jogo" xr:uid="{9F996332-9EC6-4AF0-9376-51068C5136D8}"/>
    <hyperlink ref="G256" display="Analisar jogo" xr:uid="{F0041B85-103B-486E-A816-6B8DCB373DFB}"/>
    <hyperlink ref="G257" display="Analisar jogo" xr:uid="{412756D1-8674-4938-8A6A-31E8B4C1DD02}"/>
    <hyperlink ref="G258" display="Analisar jogo" xr:uid="{05063622-57C0-483F-BDB2-4C39E490B62F}"/>
    <hyperlink ref="G259" display="Analisar jogo" xr:uid="{2576D825-8C06-4759-943C-DC2538D427B1}"/>
    <hyperlink ref="G260" display="Analisar jogo" xr:uid="{2121D876-725A-47AF-B290-17E3B96F16B3}"/>
    <hyperlink ref="G261" display="Analisar jogo" xr:uid="{83B21182-C314-4B42-857C-57088389B649}"/>
    <hyperlink ref="G262" display="Analisar jogo" xr:uid="{6850F062-4669-4D6C-B227-11E1500646D0}"/>
    <hyperlink ref="G263" display="Analisar jogo" xr:uid="{8CBF0F1D-8833-4A88-819B-DC1B45408F1D}"/>
    <hyperlink ref="G264" display="Analisar jogo" xr:uid="{42CB9C1E-8817-4834-AB8F-31EF7AD572B1}"/>
    <hyperlink ref="G265" display="Analisar jogo" xr:uid="{A977D560-67E3-47A7-8522-DC3B90558E74}"/>
    <hyperlink ref="G266" display="Analisar jogo" xr:uid="{FF5EB390-B67E-422D-BB6A-840B534EC7FE}"/>
    <hyperlink ref="G267" display="Analisar jogo" xr:uid="{51860D8F-B561-42DC-88B0-892CAB183807}"/>
    <hyperlink ref="G268" display="Analisar jogo" xr:uid="{86EEED3D-1EF2-48BB-BEE2-9D537EE82087}"/>
    <hyperlink ref="G269" display="Analisar jogo" xr:uid="{82D88956-262E-4213-996F-F809AF66BFF0}"/>
    <hyperlink ref="G270" display="Analisar jogo" xr:uid="{7A3A1EA4-0848-4CD4-8FE1-7B06F4412E44}"/>
    <hyperlink ref="G271" display="Analisar jogo" xr:uid="{76BE7B4E-8C8E-4C3A-A048-A9D8101E8AE3}"/>
    <hyperlink ref="G272" display="Analisar jogo" xr:uid="{47ABBC67-C1B7-4E13-A8B9-0D93FA514091}"/>
    <hyperlink ref="G273" display="Analisar jogo" xr:uid="{76CA723B-9A6E-4A4C-8FDA-05E3E8C8C11D}"/>
    <hyperlink ref="G274" display="Analisar jogo" xr:uid="{6601D3EC-474D-4C0F-9921-63D65F9DA226}"/>
    <hyperlink ref="G275" display="Analisar jogo" xr:uid="{CEEE3C72-49AA-4D20-943B-4DD7F8A8DBE7}"/>
    <hyperlink ref="G276" display="Analisar jogo" xr:uid="{861FE1B5-1148-41D5-BFF8-667D9FF26E05}"/>
    <hyperlink ref="G277" display="Analisar jogo" xr:uid="{97E9CA33-2218-4F2F-9371-3E3DF6D3671C}"/>
    <hyperlink ref="G278" display="Analisar jogo" xr:uid="{C87C8A5D-48A8-4A62-925D-487F4A330110}"/>
    <hyperlink ref="G279" display="Analisar jogo" xr:uid="{0F014D66-6D07-4B5D-A534-1907CA71723F}"/>
    <hyperlink ref="G280" display="Analisar jogo" xr:uid="{4277B23A-6AAD-4127-B6C6-03CA3E40BC07}"/>
    <hyperlink ref="G281" display="Analisar jogo" xr:uid="{5958F45A-C977-4D0D-9F25-E071DEEDBA69}"/>
    <hyperlink ref="G282" display="Analisar jogo" xr:uid="{711A05DC-5AA0-48F4-88A0-D551666C68B3}"/>
    <hyperlink ref="G283" display="Analisar jogo" xr:uid="{C295EB1A-1A4D-4669-A722-C71D36678841}"/>
    <hyperlink ref="G284" display="Analisar jogo" xr:uid="{64172498-A1CB-49B8-AA72-3083CF2D79C5}"/>
    <hyperlink ref="G285" display="Analisar jogo" xr:uid="{F1ECB71C-03E5-4D26-BB02-8816F62EDBE0}"/>
    <hyperlink ref="G286" display="Analisar jogo" xr:uid="{C69BA1AC-7412-407A-8D5B-BC945EF07F13}"/>
    <hyperlink ref="G287" display="Analisar jogo" xr:uid="{0742311C-27BD-4ACA-AA2D-508F36367154}"/>
    <hyperlink ref="G288" display="Analisar jogo" xr:uid="{27EE7868-2A22-49D6-9F9C-59E5F7FB5096}"/>
    <hyperlink ref="G289" display="Analisar jogo" xr:uid="{A04444EB-6DD5-49E5-8737-F41D48D445B2}"/>
    <hyperlink ref="G290" display="Analisar jogo" xr:uid="{CEFFCD9F-46FA-4259-BC34-CB3421DBC7C3}"/>
    <hyperlink ref="G291" display="Analisar jogo" xr:uid="{F8BC72F2-F3F7-4109-ABA8-7F9304B1D3D6}"/>
    <hyperlink ref="G292" display="Analisar jogo" xr:uid="{95048E53-662A-4AD7-A5B7-0384360B999C}"/>
    <hyperlink ref="G293" display="Analisar jogo" xr:uid="{2E91D247-4592-40C3-9B86-D692A08C93F8}"/>
    <hyperlink ref="G294" display="Analisar jogo" xr:uid="{F4B3150D-DEB4-4F51-A821-1DF72408F586}"/>
    <hyperlink ref="G295" display="Analisar jogo" xr:uid="{2482F581-C39C-48C0-8655-DEE60F659A5F}"/>
    <hyperlink ref="G296" display="Analisar jogo" xr:uid="{80FDD530-A760-4A57-8E23-48003866307A}"/>
    <hyperlink ref="G297" display="Analisar jogo" xr:uid="{DEBC7CE0-33F3-4218-84B8-BDC7D8ABD14A}"/>
    <hyperlink ref="G298" display="Analisar jogo" xr:uid="{5CDA930E-EA82-4948-A393-630BD4E8A3A1}"/>
    <hyperlink ref="G299" display="Analisar jogo" xr:uid="{125BDE1D-EFA2-4CA3-A47A-032FE8F89FCE}"/>
    <hyperlink ref="G300" display="Analisar jogo" xr:uid="{B8579B24-416D-4DB7-8D1A-3E18906442B7}"/>
    <hyperlink ref="G301" display="Analisar jogo" xr:uid="{FD2CC004-2904-422D-820C-C93619F61057}"/>
    <hyperlink ref="G302" display="Analisar jogo" xr:uid="{9EE68E2F-9869-4816-AD61-F1FADEFC3226}"/>
    <hyperlink ref="G303" display="Analisar jogo" xr:uid="{58E7ABC4-56E6-4EAB-A562-5E6368E33BBF}"/>
    <hyperlink ref="G304" display="Analisar jogo" xr:uid="{98EA88E6-AB4A-42D0-AD38-BAE48F8B63F8}"/>
    <hyperlink ref="G305" display="Analisar jogo" xr:uid="{BA62869A-6B3F-46BE-8D66-2E3F7A650636}"/>
    <hyperlink ref="G306" display="Analisar jogo" xr:uid="{02DD12EB-3E94-4916-AC37-08528E697223}"/>
    <hyperlink ref="G307" display="Analisar jogo" xr:uid="{77110E34-C70D-47D6-8307-03CD347A8002}"/>
  </hyperlink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cboPartidas">
          <controlPr defaultSize="0" autoLine="0" r:id="rId4">
            <anchor>
              <from>
                <xdr:col>2</xdr:col>
                <xdr:colOff>1866900</xdr:colOff>
                <xdr:row>0</xdr:row>
                <xdr:rowOff>171450</xdr:rowOff>
              </from>
              <to>
                <xdr:col>7</xdr:col>
                <xdr:colOff>38100</xdr:colOff>
                <xdr:row>2</xdr:row>
                <xdr:rowOff>38100</xdr:rowOff>
              </to>
            </anchor>
          </controlPr>
        </control>
      </mc:Choice>
      <mc:Fallback>
        <control shapeId="2049" r:id="rId3" name="cboPartid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O1048561"/>
  <sheetViews>
    <sheetView showGridLines="0" zoomScale="90" zoomScaleNormal="90" workbookViewId="0">
      <selection activeCell="C2" sqref="C2"/>
    </sheetView>
  </sheetViews>
  <sheetFormatPr defaultColWidth="9.140625" defaultRowHeight="0" customHeight="1" zeroHeight="1" x14ac:dyDescent="0.2"/>
  <cols>
    <col min="1" max="2" width="11.7109375" style="3" customWidth="1"/>
    <col min="3" max="11" width="14.7109375" style="3" customWidth="1"/>
    <col min="12" max="12" width="3.5703125" style="3" customWidth="1"/>
    <col min="13" max="14" width="12.7109375" style="3" customWidth="1"/>
    <col min="15" max="15" width="12.140625" style="3" customWidth="1"/>
    <col min="16" max="16" width="2.28515625" style="3" customWidth="1"/>
    <col min="17" max="17" width="6.85546875" style="3" customWidth="1"/>
    <col min="18" max="16384" width="9.140625" style="3"/>
  </cols>
  <sheetData>
    <row r="1" spans="1:15" ht="13.5" thickBot="1" x14ac:dyDescent="0.25">
      <c r="C1" s="103" t="s">
        <v>68</v>
      </c>
      <c r="D1" s="103" t="s">
        <v>66</v>
      </c>
      <c r="E1" s="103" t="s">
        <v>0</v>
      </c>
      <c r="F1" s="103" t="s">
        <v>1</v>
      </c>
      <c r="G1" s="103" t="s">
        <v>2</v>
      </c>
      <c r="H1" s="103" t="s">
        <v>3</v>
      </c>
      <c r="I1" s="103" t="s">
        <v>4</v>
      </c>
      <c r="J1" s="103" t="s">
        <v>5</v>
      </c>
      <c r="K1" s="103" t="s">
        <v>6</v>
      </c>
      <c r="L1" s="82"/>
      <c r="M1" s="140" t="s">
        <v>101</v>
      </c>
      <c r="N1" s="140"/>
      <c r="O1" s="140"/>
    </row>
    <row r="2" spans="1:15" ht="13.5" thickBot="1" x14ac:dyDescent="0.25">
      <c r="C2" s="4" t="s">
        <v>1413</v>
      </c>
      <c r="D2" s="4" t="s">
        <v>527</v>
      </c>
      <c r="E2" s="92" t="s">
        <v>170</v>
      </c>
      <c r="F2" s="4">
        <v>8</v>
      </c>
      <c r="G2" s="4">
        <v>5</v>
      </c>
      <c r="H2" s="4">
        <v>1</v>
      </c>
      <c r="I2" s="4">
        <v>2</v>
      </c>
      <c r="J2" s="4">
        <v>11</v>
      </c>
      <c r="K2" s="4">
        <v>9</v>
      </c>
      <c r="L2" s="60"/>
      <c r="M2" s="4" t="s">
        <v>70</v>
      </c>
      <c r="N2" s="4" t="s">
        <v>69</v>
      </c>
      <c r="O2" s="4" t="s">
        <v>88</v>
      </c>
    </row>
    <row r="3" spans="1:15" ht="13.5" thickBot="1" x14ac:dyDescent="0.25">
      <c r="C3" s="4" t="s">
        <v>1414</v>
      </c>
      <c r="D3" s="4" t="s">
        <v>1415</v>
      </c>
      <c r="E3" s="92" t="s">
        <v>564</v>
      </c>
      <c r="F3" s="4">
        <v>7</v>
      </c>
      <c r="G3" s="4">
        <v>0</v>
      </c>
      <c r="H3" s="4">
        <v>0</v>
      </c>
      <c r="I3" s="4">
        <v>7</v>
      </c>
      <c r="J3" s="4">
        <v>4</v>
      </c>
      <c r="K3" s="4">
        <v>17</v>
      </c>
      <c r="L3" s="60"/>
      <c r="M3" s="66">
        <f>IFERROR(D25/SUM(F25:I25),0)</f>
        <v>0</v>
      </c>
      <c r="N3" s="66">
        <f>94-D25</f>
        <v>94</v>
      </c>
      <c r="O3" s="66">
        <v>-2</v>
      </c>
    </row>
    <row r="4" spans="1:15" ht="13.5" thickBot="1" x14ac:dyDescent="0.25">
      <c r="C4" s="104"/>
      <c r="D4" s="104"/>
      <c r="E4" s="105"/>
      <c r="F4" s="104"/>
      <c r="G4" s="104"/>
      <c r="H4" s="104"/>
      <c r="I4" s="104"/>
      <c r="J4" s="104"/>
      <c r="K4" s="104"/>
      <c r="L4" s="82"/>
    </row>
    <row r="5" spans="1:15" ht="13.5" thickBot="1" x14ac:dyDescent="0.25">
      <c r="C5" s="144" t="s">
        <v>67</v>
      </c>
      <c r="D5" s="144"/>
      <c r="E5" s="103" t="s">
        <v>0</v>
      </c>
      <c r="F5" s="103" t="s">
        <v>1</v>
      </c>
      <c r="G5" s="103" t="s">
        <v>2</v>
      </c>
      <c r="H5" s="103" t="s">
        <v>3</v>
      </c>
      <c r="I5" s="103" t="s">
        <v>4</v>
      </c>
      <c r="J5" s="103" t="s">
        <v>5</v>
      </c>
      <c r="K5" s="103" t="s">
        <v>6</v>
      </c>
      <c r="L5" s="82"/>
      <c r="M5" s="79" t="s">
        <v>67</v>
      </c>
      <c r="N5" s="79" t="s">
        <v>268</v>
      </c>
    </row>
    <row r="6" spans="1:15" ht="13.5" thickBot="1" x14ac:dyDescent="0.25">
      <c r="C6" s="144"/>
      <c r="D6" s="144"/>
      <c r="E6" s="92" t="s">
        <v>170</v>
      </c>
      <c r="F6" s="93">
        <v>8</v>
      </c>
      <c r="G6" s="93">
        <v>4</v>
      </c>
      <c r="H6" s="93">
        <v>1</v>
      </c>
      <c r="I6" s="93">
        <v>3</v>
      </c>
      <c r="J6" s="93">
        <v>7</v>
      </c>
      <c r="K6" s="93">
        <v>6</v>
      </c>
      <c r="L6" s="60"/>
      <c r="M6" s="80">
        <f>(SUM(M11:N11)/2+SUM(M12:N12)/2)</f>
        <v>1.6696428571428572</v>
      </c>
      <c r="N6" s="80">
        <f>(SUM(M9:N9)/2+SUM(M10:N10)/2)</f>
        <v>2.75</v>
      </c>
    </row>
    <row r="7" spans="1:15" ht="13.5" thickBot="1" x14ac:dyDescent="0.25">
      <c r="C7" s="144"/>
      <c r="D7" s="144"/>
      <c r="E7" s="92" t="s">
        <v>564</v>
      </c>
      <c r="F7" s="93">
        <v>7</v>
      </c>
      <c r="G7" s="93">
        <v>1</v>
      </c>
      <c r="H7" s="93">
        <v>1</v>
      </c>
      <c r="I7" s="93">
        <v>5</v>
      </c>
      <c r="J7" s="93">
        <v>4</v>
      </c>
      <c r="K7" s="93">
        <v>8</v>
      </c>
      <c r="L7" s="60"/>
      <c r="M7" s="60"/>
      <c r="N7" s="60"/>
    </row>
    <row r="8" spans="1:15" ht="13.5" thickBot="1" x14ac:dyDescent="0.25">
      <c r="C8" s="65"/>
      <c r="D8" s="65"/>
      <c r="E8" s="65"/>
      <c r="F8" s="65"/>
      <c r="G8" s="65"/>
      <c r="H8" s="65"/>
      <c r="I8" s="65"/>
      <c r="J8" s="65"/>
      <c r="K8" s="65"/>
      <c r="M8" s="128" t="s">
        <v>5</v>
      </c>
      <c r="N8" s="128" t="s">
        <v>6</v>
      </c>
    </row>
    <row r="9" spans="1:15" ht="13.5" thickBot="1" x14ac:dyDescent="0.25">
      <c r="A9" s="76"/>
      <c r="C9" s="142" t="s">
        <v>427</v>
      </c>
      <c r="D9" s="142"/>
      <c r="E9" s="142"/>
      <c r="F9" s="142"/>
      <c r="G9" s="142"/>
      <c r="H9" s="142"/>
      <c r="I9" s="142"/>
      <c r="J9" s="142"/>
      <c r="K9" s="142"/>
      <c r="M9" s="125">
        <f>J2/F2</f>
        <v>1.375</v>
      </c>
      <c r="N9" s="125">
        <f>K2/F2</f>
        <v>1.125</v>
      </c>
      <c r="O9" s="60"/>
    </row>
    <row r="10" spans="1:15" ht="13.5" thickBot="1" x14ac:dyDescent="0.25">
      <c r="A10" s="76"/>
      <c r="C10" s="142" t="str">
        <f>E2</f>
        <v>Colon de Santa Fe</v>
      </c>
      <c r="D10" s="142"/>
      <c r="E10" s="142"/>
      <c r="F10" s="142" t="s">
        <v>236</v>
      </c>
      <c r="G10" s="142"/>
      <c r="H10" s="142"/>
      <c r="I10" s="142" t="str">
        <f>E3</f>
        <v>Aldosivi Mar del Plata</v>
      </c>
      <c r="J10" s="142"/>
      <c r="K10" s="142"/>
      <c r="M10" s="125">
        <f>J3/F3</f>
        <v>0.5714285714285714</v>
      </c>
      <c r="N10" s="125">
        <f>K3/F3</f>
        <v>2.4285714285714284</v>
      </c>
      <c r="O10" s="60"/>
    </row>
    <row r="11" spans="1:15" ht="13.5" thickBot="1" x14ac:dyDescent="0.25">
      <c r="A11" s="76"/>
      <c r="C11" s="148">
        <f>((G2/F2)+(I3/F3))/2</f>
        <v>0.8125</v>
      </c>
      <c r="D11" s="148"/>
      <c r="E11" s="148"/>
      <c r="F11" s="148">
        <f>((H2/F2)+(H3/F3))/2</f>
        <v>6.25E-2</v>
      </c>
      <c r="G11" s="148"/>
      <c r="H11" s="148"/>
      <c r="I11" s="148">
        <f>((G3/F3)+(I2/F2))/2</f>
        <v>0.125</v>
      </c>
      <c r="J11" s="148"/>
      <c r="K11" s="148"/>
      <c r="M11" s="125">
        <f>J6/F6</f>
        <v>0.875</v>
      </c>
      <c r="N11" s="125">
        <f>K6/F6</f>
        <v>0.75</v>
      </c>
    </row>
    <row r="12" spans="1:15" s="101" customFormat="1" ht="13.5" thickBot="1" x14ac:dyDescent="0.25">
      <c r="A12" s="100"/>
      <c r="C12" s="106"/>
      <c r="D12" s="106"/>
      <c r="E12" s="106"/>
      <c r="F12" s="106"/>
      <c r="G12" s="106"/>
      <c r="H12" s="106"/>
      <c r="I12" s="106"/>
      <c r="J12" s="106"/>
      <c r="K12" s="106"/>
      <c r="M12" s="125">
        <f>J7/F7</f>
        <v>0.5714285714285714</v>
      </c>
      <c r="N12" s="125">
        <f>K7/F7</f>
        <v>1.1428571428571428</v>
      </c>
    </row>
    <row r="13" spans="1:15" ht="15.75" thickBot="1" x14ac:dyDescent="0.25">
      <c r="C13" s="147" t="s">
        <v>428</v>
      </c>
      <c r="D13" s="147"/>
      <c r="E13" s="147"/>
      <c r="F13" s="147"/>
      <c r="G13" s="147"/>
      <c r="H13" s="147"/>
      <c r="I13" s="147"/>
      <c r="J13" s="147"/>
      <c r="K13" s="147"/>
      <c r="N13" s="60"/>
    </row>
    <row r="14" spans="1:15" ht="15.75" customHeight="1" thickBot="1" x14ac:dyDescent="0.25">
      <c r="A14" s="60"/>
      <c r="B14" s="60"/>
      <c r="C14" s="142" t="s">
        <v>266</v>
      </c>
      <c r="D14" s="94" t="s">
        <v>291</v>
      </c>
      <c r="E14" s="94" t="s">
        <v>89</v>
      </c>
      <c r="F14" s="94" t="s">
        <v>9</v>
      </c>
      <c r="G14" s="94" t="s">
        <v>10</v>
      </c>
      <c r="H14" s="94" t="s">
        <v>22</v>
      </c>
      <c r="I14" s="103" t="s">
        <v>13</v>
      </c>
      <c r="J14" s="103" t="s">
        <v>11</v>
      </c>
      <c r="K14" s="103" t="s">
        <v>12</v>
      </c>
      <c r="M14" s="134"/>
      <c r="N14" s="134"/>
      <c r="O14" s="60"/>
    </row>
    <row r="15" spans="1:15" ht="15.75" customHeight="1" thickBot="1" x14ac:dyDescent="0.25">
      <c r="A15" s="60"/>
      <c r="B15" s="97"/>
      <c r="C15" s="142"/>
      <c r="D15" s="95" t="str">
        <f>IF(AND(M11&gt;0.5,M12&gt;0.5,N11&gt;0.75,N12&gt;0.75),"SIM","NÃO")</f>
        <v>NÃO</v>
      </c>
      <c r="E15" s="95" t="str">
        <f>IF(AND(M9&gt;=0.6,M10&gt;=0.6,N9&gt;=0.75,N10&gt;=0.75),"SIM",IF(AND(N9&gt;1.25,N10&gt;1.25),"SIM","NÃO"))</f>
        <v>NÃO</v>
      </c>
      <c r="F15" s="95" t="str">
        <f>IF($M$6&gt;0.6,"SIM","NÃO")</f>
        <v>SIM</v>
      </c>
      <c r="G15" s="95" t="str">
        <f>IF($M$6&gt;1.5,"SIM","NÃO")</f>
        <v>SIM</v>
      </c>
      <c r="H15" s="95" t="str">
        <f>IF($N$6&gt;1,"SIM","NÃO")</f>
        <v>SIM</v>
      </c>
      <c r="I15" s="95" t="str">
        <f>IF($N$6&gt;1.4,"SIM","NÃO")</f>
        <v>SIM</v>
      </c>
      <c r="J15" s="95" t="str">
        <f>IF($N$6&gt;2.4,"SIM","NÃO")</f>
        <v>SIM</v>
      </c>
      <c r="K15" s="95" t="str">
        <f>IF($N$6&gt;3.5,"SIM","NÃO")</f>
        <v>NÃO</v>
      </c>
      <c r="M15" s="134"/>
      <c r="N15" s="134"/>
      <c r="O15" s="60"/>
    </row>
    <row r="16" spans="1:15" ht="13.5" customHeight="1" thickBot="1" x14ac:dyDescent="0.25">
      <c r="C16" s="107"/>
      <c r="D16" s="83"/>
      <c r="E16" s="108"/>
      <c r="F16" s="109"/>
      <c r="G16" s="109"/>
      <c r="H16" s="109"/>
      <c r="I16" s="107"/>
      <c r="J16" s="110"/>
      <c r="K16" s="65"/>
      <c r="M16" s="134"/>
      <c r="N16" s="134"/>
    </row>
    <row r="17" spans="3:14" ht="15.75" customHeight="1" thickBot="1" x14ac:dyDescent="0.25">
      <c r="C17" s="147" t="s">
        <v>14</v>
      </c>
      <c r="D17" s="147"/>
      <c r="E17" s="147"/>
      <c r="F17" s="147"/>
      <c r="G17" s="147"/>
      <c r="H17" s="147"/>
      <c r="I17" s="147"/>
      <c r="J17" s="147"/>
      <c r="K17" s="147"/>
      <c r="M17" s="134"/>
      <c r="N17" s="134"/>
    </row>
    <row r="18" spans="3:14" ht="13.5" customHeight="1" thickBot="1" x14ac:dyDescent="0.25">
      <c r="C18" s="142" t="s">
        <v>311</v>
      </c>
      <c r="D18" s="142"/>
      <c r="E18" s="142"/>
      <c r="F18" s="142" t="s">
        <v>313</v>
      </c>
      <c r="G18" s="142"/>
      <c r="H18" s="142"/>
      <c r="I18" s="142" t="s">
        <v>312</v>
      </c>
      <c r="J18" s="142"/>
      <c r="K18" s="142"/>
      <c r="M18" s="134"/>
      <c r="N18" s="134"/>
    </row>
    <row r="19" spans="3:14" ht="13.5" customHeight="1" thickBot="1" x14ac:dyDescent="0.25">
      <c r="C19" s="145">
        <f>IFERROR(SUM('GOLS e CANTOS'!L3:O3),"")</f>
        <v>7</v>
      </c>
      <c r="D19" s="145"/>
      <c r="E19" s="145"/>
      <c r="F19" s="152">
        <f>SUM('GOLS e CANTOS'!L16:O16)</f>
        <v>10.222222222222221</v>
      </c>
      <c r="G19" s="152"/>
      <c r="H19" s="152"/>
      <c r="I19" s="152">
        <f>SUM('GOLS e CANTOS'!L29:O29)</f>
        <v>8.8888888888888893</v>
      </c>
      <c r="J19" s="152"/>
      <c r="K19" s="152"/>
    </row>
    <row r="20" spans="3:14" ht="13.5" customHeight="1" thickBot="1" x14ac:dyDescent="0.25">
      <c r="C20" s="142" t="s">
        <v>425</v>
      </c>
      <c r="D20" s="142"/>
      <c r="E20" s="142"/>
      <c r="F20" s="142"/>
      <c r="G20" s="142"/>
      <c r="H20" s="142"/>
      <c r="I20" s="142"/>
      <c r="J20" s="142"/>
      <c r="K20" s="142"/>
    </row>
    <row r="21" spans="3:14" ht="13.5" customHeight="1" thickBot="1" x14ac:dyDescent="0.25">
      <c r="C21" s="149">
        <f>AVERAGE(C19:K19)</f>
        <v>8.7037037037037042</v>
      </c>
      <c r="D21" s="150"/>
      <c r="E21" s="150"/>
      <c r="F21" s="150"/>
      <c r="G21" s="150"/>
      <c r="H21" s="150"/>
      <c r="I21" s="150"/>
      <c r="J21" s="150"/>
      <c r="K21" s="151"/>
    </row>
    <row r="22" spans="3:14" ht="13.5" customHeight="1" thickBot="1" x14ac:dyDescent="0.25">
      <c r="C22" s="142" t="s">
        <v>272</v>
      </c>
      <c r="D22" s="142"/>
      <c r="E22" s="142"/>
      <c r="F22" s="142"/>
      <c r="G22" s="142"/>
      <c r="H22" s="142"/>
      <c r="I22" s="142"/>
      <c r="J22" s="142"/>
      <c r="K22" s="142"/>
    </row>
    <row r="23" spans="3:14" ht="13.5" customHeight="1" thickBot="1" x14ac:dyDescent="0.25">
      <c r="C23" s="143"/>
      <c r="D23" s="143"/>
      <c r="E23" s="143"/>
      <c r="F23" s="143"/>
      <c r="G23" s="143"/>
      <c r="H23" s="143"/>
      <c r="I23" s="143"/>
      <c r="J23" s="143"/>
      <c r="K23" s="143"/>
    </row>
    <row r="24" spans="3:14" ht="13.5" customHeight="1" thickBot="1" x14ac:dyDescent="0.25">
      <c r="C24" s="146" t="s">
        <v>87</v>
      </c>
      <c r="D24" s="142" t="s">
        <v>81</v>
      </c>
      <c r="E24" s="142"/>
      <c r="F24" s="140" t="str">
        <f>E2</f>
        <v>Colon de Santa Fe</v>
      </c>
      <c r="G24" s="140"/>
      <c r="H24" s="140" t="str">
        <f>E3</f>
        <v>Aldosivi Mar del Plata</v>
      </c>
      <c r="I24" s="140"/>
      <c r="J24" s="140" t="s">
        <v>281</v>
      </c>
      <c r="K24" s="140"/>
    </row>
    <row r="25" spans="3:14" ht="13.5" customHeight="1" thickBot="1" x14ac:dyDescent="0.25">
      <c r="C25" s="142"/>
      <c r="D25" s="145"/>
      <c r="E25" s="145"/>
      <c r="F25" s="145"/>
      <c r="G25" s="145"/>
      <c r="H25" s="145"/>
      <c r="I25" s="145"/>
      <c r="J25" s="141">
        <f>(SUM(F25,H25,O3))</f>
        <v>-2</v>
      </c>
      <c r="K25" s="141"/>
    </row>
    <row r="26" spans="3:14" ht="12.75" x14ac:dyDescent="0.2"/>
    <row r="27" spans="3:14" ht="12.75" x14ac:dyDescent="0.2"/>
    <row r="28" spans="3:14" ht="12.75" x14ac:dyDescent="0.2"/>
    <row r="29" spans="3:14" ht="12.75" x14ac:dyDescent="0.2"/>
    <row r="30" spans="3:14" ht="12.75" x14ac:dyDescent="0.2"/>
    <row r="31" spans="3:14" ht="12.75" x14ac:dyDescent="0.2"/>
    <row r="32" spans="3:14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x14ac:dyDescent="0.2"/>
    <row r="44" ht="12.75" x14ac:dyDescent="0.2"/>
    <row r="45" ht="12.75" x14ac:dyDescent="0.2"/>
    <row r="46" ht="12.75" x14ac:dyDescent="0.2"/>
    <row r="47" ht="12.75" x14ac:dyDescent="0.2"/>
    <row r="48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x14ac:dyDescent="0.2"/>
    <row r="61" ht="12.75" x14ac:dyDescent="0.2"/>
    <row r="62" ht="12.75" x14ac:dyDescent="0.2"/>
    <row r="63" ht="12.75" x14ac:dyDescent="0.2"/>
    <row r="64" ht="12.75" x14ac:dyDescent="0.2"/>
    <row r="65" ht="12.75" x14ac:dyDescent="0.2"/>
    <row r="66" ht="12.75" x14ac:dyDescent="0.2"/>
    <row r="67" ht="12.75" x14ac:dyDescent="0.2"/>
    <row r="68" ht="12.75" x14ac:dyDescent="0.2"/>
    <row r="69" ht="12.75" x14ac:dyDescent="0.2"/>
    <row r="70" ht="12.75" x14ac:dyDescent="0.2"/>
    <row r="71" ht="12.75" x14ac:dyDescent="0.2"/>
    <row r="72" ht="12.75" x14ac:dyDescent="0.2"/>
    <row r="73" ht="12.75" x14ac:dyDescent="0.2"/>
    <row r="74" ht="12.75" x14ac:dyDescent="0.2"/>
    <row r="75" ht="12.75" x14ac:dyDescent="0.2"/>
    <row r="76" ht="12.75" x14ac:dyDescent="0.2"/>
    <row r="77" ht="12.75" x14ac:dyDescent="0.2"/>
    <row r="78" ht="12.75" x14ac:dyDescent="0.2"/>
    <row r="79" ht="12.75" x14ac:dyDescent="0.2"/>
    <row r="80" ht="12.75" x14ac:dyDescent="0.2"/>
    <row r="81" ht="12.75" x14ac:dyDescent="0.2"/>
    <row r="82" ht="12.75" x14ac:dyDescent="0.2"/>
    <row r="83" ht="12.75" x14ac:dyDescent="0.2"/>
    <row r="84" ht="12.75" x14ac:dyDescent="0.2"/>
    <row r="85" ht="12.75" x14ac:dyDescent="0.2"/>
    <row r="86" ht="12.75" x14ac:dyDescent="0.2"/>
    <row r="87" ht="12.75" x14ac:dyDescent="0.2"/>
    <row r="88" ht="12.75" x14ac:dyDescent="0.2"/>
    <row r="89" ht="12.75" x14ac:dyDescent="0.2"/>
    <row r="90" ht="12.75" x14ac:dyDescent="0.2"/>
    <row r="91" ht="12.75" x14ac:dyDescent="0.2"/>
    <row r="92" ht="12.75" x14ac:dyDescent="0.2"/>
    <row r="93" ht="12.75" x14ac:dyDescent="0.2"/>
    <row r="94" ht="12.75" x14ac:dyDescent="0.2"/>
    <row r="95" ht="12.75" x14ac:dyDescent="0.2"/>
    <row r="96" ht="12.75" x14ac:dyDescent="0.2"/>
    <row r="97" ht="12.75" x14ac:dyDescent="0.2"/>
    <row r="98" ht="12.75" x14ac:dyDescent="0.2"/>
    <row r="99" ht="12.75" x14ac:dyDescent="0.2"/>
    <row r="100" ht="12.75" x14ac:dyDescent="0.2"/>
    <row r="101" ht="12.75" x14ac:dyDescent="0.2"/>
    <row r="102" ht="12.75" x14ac:dyDescent="0.2"/>
    <row r="103" ht="12.75" x14ac:dyDescent="0.2"/>
    <row r="104" ht="12.75" x14ac:dyDescent="0.2"/>
    <row r="105" ht="12.75" x14ac:dyDescent="0.2"/>
    <row r="106" ht="12.75" x14ac:dyDescent="0.2"/>
    <row r="107" ht="12.75" x14ac:dyDescent="0.2"/>
    <row r="108" ht="12.75" x14ac:dyDescent="0.2"/>
    <row r="109" ht="12.75" x14ac:dyDescent="0.2"/>
    <row r="110" ht="12.75" x14ac:dyDescent="0.2"/>
    <row r="111" ht="12.75" x14ac:dyDescent="0.2"/>
    <row r="112" ht="12.75" x14ac:dyDescent="0.2"/>
    <row r="113" ht="12.75" x14ac:dyDescent="0.2"/>
    <row r="114" ht="12.75" x14ac:dyDescent="0.2"/>
    <row r="115" ht="12.75" x14ac:dyDescent="0.2"/>
    <row r="116" ht="12.75" x14ac:dyDescent="0.2"/>
    <row r="117" ht="12.75" x14ac:dyDescent="0.2"/>
    <row r="118" ht="12.75" x14ac:dyDescent="0.2"/>
    <row r="119" ht="12.75" x14ac:dyDescent="0.2"/>
    <row r="120" ht="12.75" x14ac:dyDescent="0.2"/>
    <row r="121" ht="12.75" x14ac:dyDescent="0.2"/>
    <row r="122" ht="12.75" x14ac:dyDescent="0.2"/>
    <row r="123" ht="12.75" x14ac:dyDescent="0.2"/>
    <row r="124" ht="12.75" x14ac:dyDescent="0.2"/>
    <row r="125" ht="12.75" x14ac:dyDescent="0.2"/>
    <row r="126" ht="12.75" x14ac:dyDescent="0.2"/>
    <row r="127" ht="12.75" x14ac:dyDescent="0.2"/>
    <row r="128" ht="12.75" x14ac:dyDescent="0.2"/>
    <row r="129" ht="12.75" x14ac:dyDescent="0.2"/>
    <row r="130" ht="12.75" x14ac:dyDescent="0.2"/>
    <row r="131" ht="12.75" x14ac:dyDescent="0.2"/>
    <row r="132" ht="12.75" x14ac:dyDescent="0.2"/>
    <row r="133" ht="12.75" x14ac:dyDescent="0.2"/>
    <row r="134" ht="12.75" x14ac:dyDescent="0.2"/>
    <row r="135" ht="12.75" x14ac:dyDescent="0.2"/>
    <row r="136" ht="12.75" x14ac:dyDescent="0.2"/>
    <row r="137" ht="12.75" x14ac:dyDescent="0.2"/>
    <row r="138" ht="12.75" x14ac:dyDescent="0.2"/>
    <row r="139" ht="12.75" x14ac:dyDescent="0.2"/>
    <row r="140" ht="12.75" x14ac:dyDescent="0.2"/>
    <row r="141" ht="12.75" x14ac:dyDescent="0.2"/>
    <row r="142" ht="12.75" x14ac:dyDescent="0.2"/>
    <row r="143" ht="12.75" x14ac:dyDescent="0.2"/>
    <row r="144" ht="12.75" x14ac:dyDescent="0.2"/>
    <row r="145" ht="12.75" x14ac:dyDescent="0.2"/>
    <row r="146" ht="12.75" x14ac:dyDescent="0.2"/>
    <row r="147" ht="12.75" x14ac:dyDescent="0.2"/>
    <row r="148" ht="12.75" x14ac:dyDescent="0.2"/>
    <row r="149" ht="12.75" x14ac:dyDescent="0.2"/>
    <row r="150" ht="12.75" x14ac:dyDescent="0.2"/>
    <row r="151" ht="12.75" x14ac:dyDescent="0.2"/>
    <row r="152" ht="12.75" x14ac:dyDescent="0.2"/>
    <row r="153" ht="12.75" x14ac:dyDescent="0.2"/>
    <row r="154" ht="12.75" x14ac:dyDescent="0.2"/>
    <row r="155" ht="12.75" x14ac:dyDescent="0.2"/>
    <row r="156" ht="12.75" x14ac:dyDescent="0.2"/>
    <row r="157" ht="12.75" x14ac:dyDescent="0.2"/>
    <row r="158" ht="12.75" x14ac:dyDescent="0.2"/>
    <row r="159" ht="12.75" x14ac:dyDescent="0.2"/>
    <row r="160" ht="12.75" x14ac:dyDescent="0.2"/>
    <row r="161" ht="12.75" x14ac:dyDescent="0.2"/>
    <row r="162" ht="12.75" x14ac:dyDescent="0.2"/>
    <row r="163" ht="12.75" x14ac:dyDescent="0.2"/>
    <row r="164" ht="12.75" x14ac:dyDescent="0.2"/>
    <row r="165" ht="12.75" x14ac:dyDescent="0.2"/>
    <row r="166" ht="12.75" x14ac:dyDescent="0.2"/>
    <row r="167" ht="12.75" x14ac:dyDescent="0.2"/>
    <row r="168" ht="12.75" x14ac:dyDescent="0.2"/>
    <row r="169" ht="12.75" x14ac:dyDescent="0.2"/>
    <row r="170" ht="12.75" x14ac:dyDescent="0.2"/>
    <row r="171" ht="12.75" x14ac:dyDescent="0.2"/>
    <row r="172" ht="12.75" x14ac:dyDescent="0.2"/>
    <row r="173" ht="12.75" x14ac:dyDescent="0.2"/>
    <row r="174" ht="12.75" x14ac:dyDescent="0.2"/>
    <row r="175" ht="12.75" x14ac:dyDescent="0.2"/>
    <row r="176" ht="12.75" x14ac:dyDescent="0.2"/>
    <row r="177" ht="12.75" x14ac:dyDescent="0.2"/>
    <row r="178" ht="12.75" x14ac:dyDescent="0.2"/>
    <row r="179" ht="12.75" x14ac:dyDescent="0.2"/>
    <row r="180" ht="12.75" x14ac:dyDescent="0.2"/>
    <row r="181" ht="12.75" x14ac:dyDescent="0.2"/>
    <row r="182" ht="12.75" x14ac:dyDescent="0.2"/>
    <row r="183" ht="12.75" x14ac:dyDescent="0.2"/>
    <row r="184" ht="12.75" x14ac:dyDescent="0.2"/>
    <row r="185" ht="12.75" x14ac:dyDescent="0.2"/>
    <row r="186" ht="12.75" x14ac:dyDescent="0.2"/>
    <row r="187" ht="12.75" x14ac:dyDescent="0.2"/>
    <row r="188" ht="12.75" x14ac:dyDescent="0.2"/>
    <row r="189" ht="12.75" x14ac:dyDescent="0.2"/>
    <row r="190" ht="12.75" x14ac:dyDescent="0.2"/>
    <row r="191" ht="12.75" x14ac:dyDescent="0.2"/>
    <row r="192" ht="12.75" x14ac:dyDescent="0.2"/>
    <row r="193" ht="12.75" x14ac:dyDescent="0.2"/>
    <row r="194" ht="12.75" x14ac:dyDescent="0.2"/>
    <row r="195" ht="12.75" x14ac:dyDescent="0.2"/>
    <row r="196" ht="12.75" x14ac:dyDescent="0.2"/>
    <row r="197" ht="12.75" x14ac:dyDescent="0.2"/>
    <row r="198" ht="12.75" x14ac:dyDescent="0.2"/>
    <row r="199" ht="12.75" x14ac:dyDescent="0.2"/>
    <row r="200" ht="12.75" x14ac:dyDescent="0.2"/>
    <row r="201" ht="12.75" x14ac:dyDescent="0.2"/>
    <row r="202" ht="12.75" x14ac:dyDescent="0.2"/>
    <row r="203" ht="12.75" x14ac:dyDescent="0.2"/>
    <row r="204" ht="12.75" x14ac:dyDescent="0.2"/>
    <row r="205" ht="12.75" x14ac:dyDescent="0.2"/>
    <row r="206" ht="12.75" x14ac:dyDescent="0.2"/>
    <row r="207" ht="12.75" x14ac:dyDescent="0.2"/>
    <row r="208" ht="12.75" x14ac:dyDescent="0.2"/>
    <row r="209" ht="12.75" x14ac:dyDescent="0.2"/>
    <row r="210" ht="12.75" x14ac:dyDescent="0.2"/>
    <row r="211" ht="12.75" x14ac:dyDescent="0.2"/>
    <row r="212" ht="12.75" x14ac:dyDescent="0.2"/>
    <row r="213" ht="12.75" x14ac:dyDescent="0.2"/>
    <row r="214" ht="12.75" x14ac:dyDescent="0.2"/>
    <row r="215" ht="12.75" x14ac:dyDescent="0.2"/>
    <row r="216" ht="12.75" x14ac:dyDescent="0.2"/>
    <row r="217" ht="12.75" x14ac:dyDescent="0.2"/>
    <row r="218" ht="12.75" x14ac:dyDescent="0.2"/>
    <row r="219" ht="12.75" x14ac:dyDescent="0.2"/>
    <row r="220" ht="12.75" x14ac:dyDescent="0.2"/>
    <row r="221" ht="12.75" x14ac:dyDescent="0.2"/>
    <row r="222" ht="12.75" x14ac:dyDescent="0.2"/>
    <row r="223" ht="12.75" x14ac:dyDescent="0.2"/>
    <row r="224" ht="12.75" x14ac:dyDescent="0.2"/>
    <row r="225" ht="12.75" x14ac:dyDescent="0.2"/>
    <row r="226" ht="12.75" x14ac:dyDescent="0.2"/>
    <row r="227" ht="12.75" x14ac:dyDescent="0.2"/>
    <row r="228" ht="12.75" x14ac:dyDescent="0.2"/>
    <row r="229" ht="12.75" x14ac:dyDescent="0.2"/>
    <row r="230" ht="12.75" x14ac:dyDescent="0.2"/>
    <row r="231" ht="12.75" x14ac:dyDescent="0.2"/>
    <row r="232" ht="12.75" x14ac:dyDescent="0.2"/>
    <row r="233" ht="12.75" x14ac:dyDescent="0.2"/>
    <row r="234" ht="12.75" x14ac:dyDescent="0.2"/>
    <row r="235" ht="12.75" x14ac:dyDescent="0.2"/>
    <row r="236" ht="12.75" x14ac:dyDescent="0.2"/>
    <row r="237" ht="12.75" x14ac:dyDescent="0.2"/>
    <row r="238" ht="12.75" x14ac:dyDescent="0.2"/>
    <row r="239" ht="12.75" x14ac:dyDescent="0.2"/>
    <row r="240" ht="12.75" x14ac:dyDescent="0.2"/>
    <row r="241" ht="12.75" x14ac:dyDescent="0.2"/>
    <row r="242" ht="12.75" x14ac:dyDescent="0.2"/>
    <row r="243" ht="12.75" x14ac:dyDescent="0.2"/>
    <row r="244" ht="12.75" x14ac:dyDescent="0.2"/>
    <row r="245" ht="12.75" x14ac:dyDescent="0.2"/>
    <row r="246" ht="12.75" x14ac:dyDescent="0.2"/>
    <row r="247" ht="12.75" x14ac:dyDescent="0.2"/>
    <row r="248" ht="12.75" x14ac:dyDescent="0.2"/>
    <row r="249" ht="12.75" x14ac:dyDescent="0.2"/>
    <row r="250" ht="12.75" x14ac:dyDescent="0.2"/>
    <row r="251" ht="12.75" x14ac:dyDescent="0.2"/>
    <row r="252" ht="12.75" x14ac:dyDescent="0.2"/>
    <row r="253" ht="12.75" x14ac:dyDescent="0.2"/>
    <row r="254" ht="12.75" x14ac:dyDescent="0.2"/>
    <row r="255" ht="12.75" x14ac:dyDescent="0.2"/>
    <row r="256" ht="12.75" x14ac:dyDescent="0.2"/>
    <row r="257" ht="12.75" x14ac:dyDescent="0.2"/>
    <row r="258" ht="12.75" x14ac:dyDescent="0.2"/>
    <row r="259" ht="12.75" x14ac:dyDescent="0.2"/>
    <row r="260" ht="12.75" x14ac:dyDescent="0.2"/>
    <row r="261" ht="12.75" x14ac:dyDescent="0.2"/>
    <row r="262" ht="12.75" x14ac:dyDescent="0.2"/>
    <row r="263" ht="12.75" x14ac:dyDescent="0.2"/>
    <row r="264" ht="12.75" x14ac:dyDescent="0.2"/>
    <row r="265" ht="12.75" x14ac:dyDescent="0.2"/>
    <row r="266" ht="12.75" x14ac:dyDescent="0.2"/>
    <row r="267" ht="12.75" x14ac:dyDescent="0.2"/>
    <row r="268" ht="12.75" x14ac:dyDescent="0.2"/>
    <row r="269" ht="12.75" x14ac:dyDescent="0.2"/>
    <row r="270" ht="12.75" x14ac:dyDescent="0.2"/>
    <row r="271" ht="12.75" x14ac:dyDescent="0.2"/>
    <row r="272" ht="12.75" x14ac:dyDescent="0.2"/>
    <row r="273" ht="12.75" x14ac:dyDescent="0.2"/>
    <row r="274" ht="12.75" x14ac:dyDescent="0.2"/>
    <row r="275" ht="12.75" x14ac:dyDescent="0.2"/>
    <row r="276" ht="12.75" x14ac:dyDescent="0.2"/>
    <row r="277" ht="12.75" x14ac:dyDescent="0.2"/>
    <row r="278" ht="12.75" x14ac:dyDescent="0.2"/>
    <row r="279" ht="12.75" x14ac:dyDescent="0.2"/>
    <row r="280" ht="12.75" x14ac:dyDescent="0.2"/>
    <row r="281" ht="12.75" x14ac:dyDescent="0.2"/>
    <row r="282" ht="12.75" x14ac:dyDescent="0.2"/>
    <row r="283" ht="12.75" x14ac:dyDescent="0.2"/>
    <row r="284" ht="12.75" x14ac:dyDescent="0.2"/>
    <row r="285" ht="12.75" x14ac:dyDescent="0.2"/>
    <row r="286" ht="12.75" x14ac:dyDescent="0.2"/>
    <row r="287" ht="12.75" x14ac:dyDescent="0.2"/>
    <row r="288" ht="12.75" x14ac:dyDescent="0.2"/>
    <row r="289" ht="12.75" x14ac:dyDescent="0.2"/>
    <row r="290" ht="12.75" x14ac:dyDescent="0.2"/>
    <row r="291" ht="12.75" x14ac:dyDescent="0.2"/>
    <row r="292" ht="12.75" x14ac:dyDescent="0.2"/>
    <row r="293" ht="12.75" x14ac:dyDescent="0.2"/>
    <row r="294" ht="12.75" x14ac:dyDescent="0.2"/>
    <row r="295" ht="12.75" x14ac:dyDescent="0.2"/>
    <row r="296" ht="12.75" x14ac:dyDescent="0.2"/>
    <row r="297" ht="12.75" x14ac:dyDescent="0.2"/>
    <row r="298" ht="12.75" x14ac:dyDescent="0.2"/>
    <row r="299" ht="12.75" x14ac:dyDescent="0.2"/>
    <row r="300" ht="12.75" x14ac:dyDescent="0.2"/>
    <row r="301" ht="12.75" x14ac:dyDescent="0.2"/>
    <row r="302" ht="12.75" x14ac:dyDescent="0.2"/>
    <row r="303" ht="12.75" x14ac:dyDescent="0.2"/>
    <row r="304" ht="12.75" x14ac:dyDescent="0.2"/>
    <row r="305" ht="12.75" x14ac:dyDescent="0.2"/>
    <row r="306" ht="12.75" x14ac:dyDescent="0.2"/>
    <row r="307" ht="12.75" x14ac:dyDescent="0.2"/>
    <row r="308" ht="12.75" x14ac:dyDescent="0.2"/>
    <row r="309" ht="12.75" x14ac:dyDescent="0.2"/>
    <row r="310" ht="12.75" x14ac:dyDescent="0.2"/>
    <row r="311" ht="12.75" x14ac:dyDescent="0.2"/>
    <row r="312" ht="12.75" x14ac:dyDescent="0.2"/>
    <row r="313" ht="12.75" x14ac:dyDescent="0.2"/>
    <row r="314" ht="12.75" x14ac:dyDescent="0.2"/>
    <row r="315" ht="12.75" x14ac:dyDescent="0.2"/>
    <row r="316" ht="12.75" x14ac:dyDescent="0.2"/>
    <row r="317" ht="12.75" x14ac:dyDescent="0.2"/>
    <row r="318" ht="12.75" x14ac:dyDescent="0.2"/>
    <row r="319" ht="12.75" x14ac:dyDescent="0.2"/>
    <row r="320" ht="12.75" x14ac:dyDescent="0.2"/>
    <row r="321" ht="12.75" x14ac:dyDescent="0.2"/>
    <row r="322" ht="12.75" x14ac:dyDescent="0.2"/>
    <row r="323" ht="12.75" x14ac:dyDescent="0.2"/>
    <row r="324" ht="12.75" x14ac:dyDescent="0.2"/>
    <row r="325" ht="12.75" x14ac:dyDescent="0.2"/>
    <row r="326" ht="12.75" x14ac:dyDescent="0.2"/>
    <row r="327" ht="12.75" x14ac:dyDescent="0.2"/>
    <row r="328" ht="12.75" x14ac:dyDescent="0.2"/>
    <row r="329" ht="12.75" x14ac:dyDescent="0.2"/>
    <row r="330" ht="12.75" x14ac:dyDescent="0.2"/>
    <row r="331" ht="12.75" x14ac:dyDescent="0.2"/>
    <row r="332" ht="12.75" x14ac:dyDescent="0.2"/>
    <row r="333" ht="12.75" x14ac:dyDescent="0.2"/>
    <row r="334" ht="12.75" x14ac:dyDescent="0.2"/>
    <row r="335" ht="12.75" x14ac:dyDescent="0.2"/>
    <row r="336" ht="12.75" x14ac:dyDescent="0.2"/>
    <row r="337" ht="12.75" x14ac:dyDescent="0.2"/>
    <row r="338" ht="12.75" x14ac:dyDescent="0.2"/>
    <row r="339" ht="12.75" x14ac:dyDescent="0.2"/>
    <row r="340" ht="12.75" x14ac:dyDescent="0.2"/>
    <row r="341" ht="12.75" x14ac:dyDescent="0.2"/>
    <row r="342" ht="12.75" x14ac:dyDescent="0.2"/>
    <row r="343" ht="12.75" x14ac:dyDescent="0.2"/>
    <row r="344" ht="12.75" x14ac:dyDescent="0.2"/>
    <row r="345" ht="12.75" x14ac:dyDescent="0.2"/>
    <row r="346" ht="12.75" x14ac:dyDescent="0.2"/>
    <row r="347" ht="12.75" x14ac:dyDescent="0.2"/>
    <row r="348" ht="12.75" x14ac:dyDescent="0.2"/>
    <row r="349" ht="12.75" x14ac:dyDescent="0.2"/>
    <row r="350" ht="12.75" x14ac:dyDescent="0.2"/>
    <row r="351" ht="12.75" x14ac:dyDescent="0.2"/>
    <row r="352" ht="12.75" x14ac:dyDescent="0.2"/>
    <row r="353" ht="12.75" x14ac:dyDescent="0.2"/>
    <row r="354" ht="12.75" x14ac:dyDescent="0.2"/>
    <row r="355" ht="12.75" x14ac:dyDescent="0.2"/>
    <row r="356" ht="12.75" x14ac:dyDescent="0.2"/>
    <row r="357" ht="12.75" x14ac:dyDescent="0.2"/>
    <row r="358" ht="12.75" x14ac:dyDescent="0.2"/>
    <row r="359" ht="12.75" x14ac:dyDescent="0.2"/>
    <row r="360" ht="12.75" x14ac:dyDescent="0.2"/>
    <row r="361" ht="12.75" x14ac:dyDescent="0.2"/>
    <row r="362" ht="12.75" x14ac:dyDescent="0.2"/>
    <row r="363" ht="12.75" x14ac:dyDescent="0.2"/>
    <row r="364" ht="12.75" x14ac:dyDescent="0.2"/>
    <row r="365" ht="12.75" x14ac:dyDescent="0.2"/>
    <row r="366" ht="12.75" x14ac:dyDescent="0.2"/>
    <row r="367" ht="12.75" x14ac:dyDescent="0.2"/>
    <row r="368" ht="12.75" x14ac:dyDescent="0.2"/>
    <row r="369" ht="12.75" x14ac:dyDescent="0.2"/>
    <row r="370" ht="12.75" x14ac:dyDescent="0.2"/>
    <row r="371" ht="12.75" x14ac:dyDescent="0.2"/>
    <row r="372" ht="12.75" x14ac:dyDescent="0.2"/>
    <row r="373" ht="12.75" x14ac:dyDescent="0.2"/>
    <row r="374" ht="12.75" x14ac:dyDescent="0.2"/>
    <row r="375" ht="12.75" x14ac:dyDescent="0.2"/>
    <row r="376" ht="12.75" x14ac:dyDescent="0.2"/>
    <row r="377" ht="12.75" x14ac:dyDescent="0.2"/>
    <row r="378" ht="12.75" x14ac:dyDescent="0.2"/>
    <row r="379" ht="12.75" x14ac:dyDescent="0.2"/>
    <row r="380" ht="12.75" x14ac:dyDescent="0.2"/>
    <row r="381" ht="12.75" x14ac:dyDescent="0.2"/>
    <row r="382" ht="12.75" x14ac:dyDescent="0.2"/>
    <row r="383" ht="12.75" x14ac:dyDescent="0.2"/>
    <row r="384" ht="12.75" x14ac:dyDescent="0.2"/>
    <row r="385" ht="12.75" x14ac:dyDescent="0.2"/>
    <row r="386" ht="12.75" x14ac:dyDescent="0.2"/>
    <row r="387" ht="12.75" x14ac:dyDescent="0.2"/>
    <row r="388" ht="12.75" x14ac:dyDescent="0.2"/>
    <row r="389" ht="12.75" x14ac:dyDescent="0.2"/>
    <row r="390" ht="12.75" x14ac:dyDescent="0.2"/>
    <row r="391" ht="12.75" x14ac:dyDescent="0.2"/>
    <row r="392" ht="12.75" x14ac:dyDescent="0.2"/>
    <row r="393" ht="12.75" x14ac:dyDescent="0.2"/>
    <row r="394" ht="12.75" x14ac:dyDescent="0.2"/>
    <row r="395" ht="12.75" x14ac:dyDescent="0.2"/>
    <row r="396" ht="12.75" x14ac:dyDescent="0.2"/>
    <row r="397" ht="12.75" x14ac:dyDescent="0.2"/>
    <row r="398" ht="12.75" x14ac:dyDescent="0.2"/>
    <row r="399" ht="12.75" x14ac:dyDescent="0.2"/>
    <row r="400" ht="12.75" x14ac:dyDescent="0.2"/>
    <row r="401" ht="12.75" x14ac:dyDescent="0.2"/>
    <row r="402" ht="12.75" x14ac:dyDescent="0.2"/>
    <row r="403" ht="12.75" x14ac:dyDescent="0.2"/>
    <row r="404" ht="12.75" x14ac:dyDescent="0.2"/>
    <row r="405" ht="12.75" x14ac:dyDescent="0.2"/>
    <row r="406" ht="12.75" x14ac:dyDescent="0.2"/>
    <row r="407" ht="12.75" x14ac:dyDescent="0.2"/>
    <row r="408" ht="12.75" x14ac:dyDescent="0.2"/>
    <row r="409" ht="12.75" x14ac:dyDescent="0.2"/>
    <row r="410" ht="12.75" x14ac:dyDescent="0.2"/>
    <row r="411" ht="12.75" x14ac:dyDescent="0.2"/>
    <row r="412" ht="12.75" x14ac:dyDescent="0.2"/>
    <row r="413" ht="12.75" x14ac:dyDescent="0.2"/>
    <row r="414" ht="12.75" x14ac:dyDescent="0.2"/>
    <row r="415" ht="12.75" x14ac:dyDescent="0.2"/>
    <row r="416" ht="12.75" x14ac:dyDescent="0.2"/>
    <row r="417" ht="12.75" x14ac:dyDescent="0.2"/>
    <row r="418" ht="12.75" x14ac:dyDescent="0.2"/>
    <row r="419" ht="12.75" x14ac:dyDescent="0.2"/>
    <row r="420" ht="12.75" x14ac:dyDescent="0.2"/>
    <row r="421" ht="12.75" x14ac:dyDescent="0.2"/>
    <row r="422" ht="12.75" x14ac:dyDescent="0.2"/>
    <row r="423" ht="12.75" x14ac:dyDescent="0.2"/>
    <row r="424" ht="12.75" x14ac:dyDescent="0.2"/>
    <row r="425" ht="12.75" x14ac:dyDescent="0.2"/>
    <row r="426" ht="12.75" x14ac:dyDescent="0.2"/>
    <row r="427" ht="12.75" x14ac:dyDescent="0.2"/>
    <row r="428" ht="12.75" x14ac:dyDescent="0.2"/>
    <row r="429" ht="12.75" x14ac:dyDescent="0.2"/>
    <row r="430" ht="12.75" x14ac:dyDescent="0.2"/>
    <row r="431" ht="12.75" x14ac:dyDescent="0.2"/>
    <row r="432" ht="12.75" x14ac:dyDescent="0.2"/>
    <row r="433" ht="12.75" x14ac:dyDescent="0.2"/>
    <row r="434" ht="12.75" x14ac:dyDescent="0.2"/>
    <row r="435" ht="12.75" x14ac:dyDescent="0.2"/>
    <row r="436" ht="12.75" x14ac:dyDescent="0.2"/>
    <row r="437" ht="12.75" x14ac:dyDescent="0.2"/>
    <row r="438" ht="12.75" x14ac:dyDescent="0.2"/>
    <row r="439" ht="12.75" x14ac:dyDescent="0.2"/>
    <row r="440" ht="12.75" x14ac:dyDescent="0.2"/>
    <row r="441" ht="12.75" x14ac:dyDescent="0.2"/>
    <row r="442" ht="12.75" x14ac:dyDescent="0.2"/>
    <row r="443" ht="12.75" x14ac:dyDescent="0.2"/>
    <row r="444" ht="12.75" x14ac:dyDescent="0.2"/>
    <row r="445" ht="12.75" x14ac:dyDescent="0.2"/>
    <row r="446" ht="12.75" x14ac:dyDescent="0.2"/>
    <row r="447" ht="12.75" x14ac:dyDescent="0.2"/>
    <row r="448" ht="12.75" x14ac:dyDescent="0.2"/>
    <row r="449" ht="12.75" x14ac:dyDescent="0.2"/>
    <row r="450" ht="12.75" x14ac:dyDescent="0.2"/>
    <row r="451" ht="12.75" x14ac:dyDescent="0.2"/>
    <row r="452" ht="0" hidden="1" customHeight="1" x14ac:dyDescent="0.2"/>
    <row r="453" ht="0" hidden="1" customHeight="1" x14ac:dyDescent="0.2"/>
    <row r="1048252" ht="0" hidden="1" customHeight="1" x14ac:dyDescent="0.2"/>
    <row r="1048253" ht="0" hidden="1" customHeight="1" x14ac:dyDescent="0.2"/>
    <row r="1048254" ht="0" hidden="1" customHeight="1" x14ac:dyDescent="0.2"/>
    <row r="1048255" ht="0" hidden="1" customHeight="1" x14ac:dyDescent="0.2"/>
    <row r="1048256" ht="0" hidden="1" customHeight="1" x14ac:dyDescent="0.2"/>
    <row r="1048257" ht="0" hidden="1" customHeight="1" x14ac:dyDescent="0.2"/>
    <row r="1048258" ht="0" hidden="1" customHeight="1" x14ac:dyDescent="0.2"/>
    <row r="1048259" ht="0" hidden="1" customHeight="1" x14ac:dyDescent="0.2"/>
    <row r="1048260" ht="0" hidden="1" customHeight="1" x14ac:dyDescent="0.2"/>
    <row r="1048261" ht="0" hidden="1" customHeight="1" x14ac:dyDescent="0.2"/>
    <row r="1048262" ht="0" hidden="1" customHeight="1" x14ac:dyDescent="0.2"/>
    <row r="1048263" ht="0" hidden="1" customHeight="1" x14ac:dyDescent="0.2"/>
    <row r="1048264" ht="0" hidden="1" customHeight="1" x14ac:dyDescent="0.2"/>
    <row r="1048265" ht="0" hidden="1" customHeight="1" x14ac:dyDescent="0.2"/>
    <row r="1048266" ht="0" hidden="1" customHeight="1" x14ac:dyDescent="0.2"/>
    <row r="1048267" ht="0" hidden="1" customHeight="1" x14ac:dyDescent="0.2"/>
    <row r="1048268" ht="0" hidden="1" customHeight="1" x14ac:dyDescent="0.2"/>
    <row r="1048269" ht="0" hidden="1" customHeight="1" x14ac:dyDescent="0.2"/>
    <row r="1048270" ht="0" hidden="1" customHeight="1" x14ac:dyDescent="0.2"/>
    <row r="1048271" ht="0" hidden="1" customHeight="1" x14ac:dyDescent="0.2"/>
    <row r="1048272" ht="0" hidden="1" customHeight="1" x14ac:dyDescent="0.2"/>
    <row r="1048273" ht="0" hidden="1" customHeight="1" x14ac:dyDescent="0.2"/>
    <row r="1048274" ht="0" hidden="1" customHeight="1" x14ac:dyDescent="0.2"/>
    <row r="1048275" ht="0" hidden="1" customHeight="1" x14ac:dyDescent="0.2"/>
    <row r="1048276" ht="0" hidden="1" customHeight="1" x14ac:dyDescent="0.2"/>
    <row r="1048277" ht="0" hidden="1" customHeight="1" x14ac:dyDescent="0.2"/>
    <row r="1048278" ht="0" hidden="1" customHeight="1" x14ac:dyDescent="0.2"/>
    <row r="1048279" ht="0" hidden="1" customHeight="1" x14ac:dyDescent="0.2"/>
    <row r="1048280" ht="0" hidden="1" customHeight="1" x14ac:dyDescent="0.2"/>
    <row r="1048281" ht="0" hidden="1" customHeight="1" x14ac:dyDescent="0.2"/>
    <row r="1048282" ht="0" hidden="1" customHeight="1" x14ac:dyDescent="0.2"/>
    <row r="1048283" ht="0" hidden="1" customHeight="1" x14ac:dyDescent="0.2"/>
    <row r="1048284" ht="0" hidden="1" customHeight="1" x14ac:dyDescent="0.2"/>
    <row r="1048285" ht="0" hidden="1" customHeight="1" x14ac:dyDescent="0.2"/>
    <row r="1048286" ht="0" hidden="1" customHeight="1" x14ac:dyDescent="0.2"/>
    <row r="1048287" ht="0" hidden="1" customHeight="1" x14ac:dyDescent="0.2"/>
    <row r="1048288" ht="0" hidden="1" customHeight="1" x14ac:dyDescent="0.2"/>
    <row r="1048289" ht="0" hidden="1" customHeight="1" x14ac:dyDescent="0.2"/>
    <row r="1048290" ht="0" hidden="1" customHeight="1" x14ac:dyDescent="0.2"/>
    <row r="1048291" ht="0" hidden="1" customHeight="1" x14ac:dyDescent="0.2"/>
    <row r="1048292" ht="0" hidden="1" customHeight="1" x14ac:dyDescent="0.2"/>
    <row r="1048293" ht="0" hidden="1" customHeight="1" x14ac:dyDescent="0.2"/>
    <row r="1048294" ht="0" hidden="1" customHeight="1" x14ac:dyDescent="0.2"/>
    <row r="1048295" ht="0" hidden="1" customHeight="1" x14ac:dyDescent="0.2"/>
    <row r="1048296" ht="0" hidden="1" customHeight="1" x14ac:dyDescent="0.2"/>
    <row r="1048297" ht="0" hidden="1" customHeight="1" x14ac:dyDescent="0.2"/>
    <row r="1048298" ht="0" hidden="1" customHeight="1" x14ac:dyDescent="0.2"/>
    <row r="1048299" ht="0" hidden="1" customHeight="1" x14ac:dyDescent="0.2"/>
    <row r="1048300" ht="0" hidden="1" customHeight="1" x14ac:dyDescent="0.2"/>
    <row r="1048301" ht="0" hidden="1" customHeight="1" x14ac:dyDescent="0.2"/>
    <row r="1048302" ht="0" hidden="1" customHeight="1" x14ac:dyDescent="0.2"/>
    <row r="1048303" ht="0" hidden="1" customHeight="1" x14ac:dyDescent="0.2"/>
    <row r="1048304" ht="0" hidden="1" customHeight="1" x14ac:dyDescent="0.2"/>
    <row r="1048305" ht="0" hidden="1" customHeight="1" x14ac:dyDescent="0.2"/>
    <row r="1048306" ht="0" hidden="1" customHeight="1" x14ac:dyDescent="0.2"/>
    <row r="1048307" ht="0" hidden="1" customHeight="1" x14ac:dyDescent="0.2"/>
    <row r="1048308" ht="0" hidden="1" customHeight="1" x14ac:dyDescent="0.2"/>
    <row r="1048309" ht="0" hidden="1" customHeight="1" x14ac:dyDescent="0.2"/>
    <row r="1048310" ht="0" hidden="1" customHeight="1" x14ac:dyDescent="0.2"/>
    <row r="1048311" ht="0" hidden="1" customHeight="1" x14ac:dyDescent="0.2"/>
    <row r="1048312" ht="0" hidden="1" customHeight="1" x14ac:dyDescent="0.2"/>
    <row r="1048313" ht="0" hidden="1" customHeight="1" x14ac:dyDescent="0.2"/>
    <row r="1048314" ht="0" hidden="1" customHeight="1" x14ac:dyDescent="0.2"/>
    <row r="1048315" ht="0" hidden="1" customHeight="1" x14ac:dyDescent="0.2"/>
    <row r="1048316" ht="0" hidden="1" customHeight="1" x14ac:dyDescent="0.2"/>
    <row r="1048317" ht="0" hidden="1" customHeight="1" x14ac:dyDescent="0.2"/>
    <row r="1048318" ht="0" hidden="1" customHeight="1" x14ac:dyDescent="0.2"/>
    <row r="1048319" ht="0" hidden="1" customHeight="1" x14ac:dyDescent="0.2"/>
    <row r="1048320" ht="0" hidden="1" customHeight="1" x14ac:dyDescent="0.2"/>
    <row r="1048321" ht="0" hidden="1" customHeight="1" x14ac:dyDescent="0.2"/>
    <row r="1048322" ht="0" hidden="1" customHeight="1" x14ac:dyDescent="0.2"/>
    <row r="1048323" ht="0" hidden="1" customHeight="1" x14ac:dyDescent="0.2"/>
    <row r="1048324" ht="0" hidden="1" customHeight="1" x14ac:dyDescent="0.2"/>
    <row r="1048325" ht="0" hidden="1" customHeight="1" x14ac:dyDescent="0.2"/>
    <row r="1048326" ht="0" hidden="1" customHeight="1" x14ac:dyDescent="0.2"/>
    <row r="1048327" ht="0" hidden="1" customHeight="1" x14ac:dyDescent="0.2"/>
    <row r="1048328" ht="0" hidden="1" customHeight="1" x14ac:dyDescent="0.2"/>
    <row r="1048329" ht="0" hidden="1" customHeight="1" x14ac:dyDescent="0.2"/>
    <row r="1048330" ht="0" hidden="1" customHeight="1" x14ac:dyDescent="0.2"/>
    <row r="1048331" ht="0" hidden="1" customHeight="1" x14ac:dyDescent="0.2"/>
    <row r="1048332" ht="0" hidden="1" customHeight="1" x14ac:dyDescent="0.2"/>
    <row r="1048333" ht="0" hidden="1" customHeight="1" x14ac:dyDescent="0.2"/>
    <row r="1048334" ht="0" hidden="1" customHeight="1" x14ac:dyDescent="0.2"/>
    <row r="1048335" ht="0" hidden="1" customHeight="1" x14ac:dyDescent="0.2"/>
    <row r="1048336" ht="0" hidden="1" customHeight="1" x14ac:dyDescent="0.2"/>
    <row r="1048337" ht="0" hidden="1" customHeight="1" x14ac:dyDescent="0.2"/>
    <row r="1048338" ht="0" hidden="1" customHeight="1" x14ac:dyDescent="0.2"/>
    <row r="1048339" ht="0" hidden="1" customHeight="1" x14ac:dyDescent="0.2"/>
    <row r="1048340" ht="0" hidden="1" customHeight="1" x14ac:dyDescent="0.2"/>
    <row r="1048341" ht="0" hidden="1" customHeight="1" x14ac:dyDescent="0.2"/>
    <row r="1048342" ht="0" hidden="1" customHeight="1" x14ac:dyDescent="0.2"/>
    <row r="1048343" ht="0" hidden="1" customHeight="1" x14ac:dyDescent="0.2"/>
    <row r="1048344" ht="0" hidden="1" customHeight="1" x14ac:dyDescent="0.2"/>
    <row r="1048345" ht="0" hidden="1" customHeight="1" x14ac:dyDescent="0.2"/>
    <row r="1048346" ht="0" hidden="1" customHeight="1" x14ac:dyDescent="0.2"/>
    <row r="1048347" ht="0" hidden="1" customHeight="1" x14ac:dyDescent="0.2"/>
    <row r="1048348" ht="0" hidden="1" customHeight="1" x14ac:dyDescent="0.2"/>
    <row r="1048349" ht="0" hidden="1" customHeight="1" x14ac:dyDescent="0.2"/>
    <row r="1048350" ht="0" hidden="1" customHeight="1" x14ac:dyDescent="0.2"/>
    <row r="1048351" ht="0" hidden="1" customHeight="1" x14ac:dyDescent="0.2"/>
    <row r="1048352" ht="0" hidden="1" customHeight="1" x14ac:dyDescent="0.2"/>
    <row r="1048353" ht="0" hidden="1" customHeight="1" x14ac:dyDescent="0.2"/>
    <row r="1048354" ht="0" hidden="1" customHeight="1" x14ac:dyDescent="0.2"/>
    <row r="1048355" ht="0" hidden="1" customHeight="1" x14ac:dyDescent="0.2"/>
    <row r="1048356" ht="0" hidden="1" customHeight="1" x14ac:dyDescent="0.2"/>
    <row r="1048357" ht="0" hidden="1" customHeight="1" x14ac:dyDescent="0.2"/>
    <row r="1048358" ht="0" hidden="1" customHeight="1" x14ac:dyDescent="0.2"/>
    <row r="1048359" ht="0" hidden="1" customHeight="1" x14ac:dyDescent="0.2"/>
    <row r="1048360" ht="0" hidden="1" customHeight="1" x14ac:dyDescent="0.2"/>
    <row r="1048361" ht="0" hidden="1" customHeight="1" x14ac:dyDescent="0.2"/>
    <row r="1048362" ht="0" hidden="1" customHeight="1" x14ac:dyDescent="0.2"/>
    <row r="1048363" ht="0" hidden="1" customHeight="1" x14ac:dyDescent="0.2"/>
    <row r="1048364" ht="0" hidden="1" customHeight="1" x14ac:dyDescent="0.2"/>
    <row r="1048365" ht="0" hidden="1" customHeight="1" x14ac:dyDescent="0.2"/>
    <row r="1048366" ht="0" hidden="1" customHeight="1" x14ac:dyDescent="0.2"/>
    <row r="1048367" ht="0" hidden="1" customHeight="1" x14ac:dyDescent="0.2"/>
    <row r="1048368" ht="0" hidden="1" customHeight="1" x14ac:dyDescent="0.2"/>
    <row r="1048369" ht="0" hidden="1" customHeight="1" x14ac:dyDescent="0.2"/>
    <row r="1048370" ht="0" hidden="1" customHeight="1" x14ac:dyDescent="0.2"/>
    <row r="1048371" ht="0" hidden="1" customHeight="1" x14ac:dyDescent="0.2"/>
    <row r="1048372" ht="0" hidden="1" customHeight="1" x14ac:dyDescent="0.2"/>
    <row r="1048373" ht="0" hidden="1" customHeight="1" x14ac:dyDescent="0.2"/>
    <row r="1048374" ht="0" hidden="1" customHeight="1" x14ac:dyDescent="0.2"/>
    <row r="1048375" ht="0" hidden="1" customHeight="1" x14ac:dyDescent="0.2"/>
    <row r="1048376" ht="0" hidden="1" customHeight="1" x14ac:dyDescent="0.2"/>
    <row r="1048377" ht="0" hidden="1" customHeight="1" x14ac:dyDescent="0.2"/>
    <row r="1048378" ht="0" hidden="1" customHeight="1" x14ac:dyDescent="0.2"/>
    <row r="1048379" ht="0" hidden="1" customHeight="1" x14ac:dyDescent="0.2"/>
    <row r="1048380" ht="0" hidden="1" customHeight="1" x14ac:dyDescent="0.2"/>
    <row r="1048381" ht="0" hidden="1" customHeight="1" x14ac:dyDescent="0.2"/>
    <row r="1048382" ht="0" hidden="1" customHeight="1" x14ac:dyDescent="0.2"/>
    <row r="1048383" ht="0" hidden="1" customHeight="1" x14ac:dyDescent="0.2"/>
    <row r="1048384" ht="0" hidden="1" customHeight="1" x14ac:dyDescent="0.2"/>
    <row r="1048385" ht="0" hidden="1" customHeight="1" x14ac:dyDescent="0.2"/>
    <row r="1048386" ht="0" hidden="1" customHeight="1" x14ac:dyDescent="0.2"/>
    <row r="1048387" ht="0" hidden="1" customHeight="1" x14ac:dyDescent="0.2"/>
    <row r="1048388" ht="0" hidden="1" customHeight="1" x14ac:dyDescent="0.2"/>
    <row r="1048389" ht="0" hidden="1" customHeight="1" x14ac:dyDescent="0.2"/>
    <row r="1048390" ht="0" hidden="1" customHeight="1" x14ac:dyDescent="0.2"/>
    <row r="1048391" ht="0" hidden="1" customHeight="1" x14ac:dyDescent="0.2"/>
    <row r="1048392" ht="0" hidden="1" customHeight="1" x14ac:dyDescent="0.2"/>
    <row r="1048393" ht="0" hidden="1" customHeight="1" x14ac:dyDescent="0.2"/>
    <row r="1048394" ht="0" hidden="1" customHeight="1" x14ac:dyDescent="0.2"/>
    <row r="1048395" ht="0" hidden="1" customHeight="1" x14ac:dyDescent="0.2"/>
    <row r="1048396" ht="0" hidden="1" customHeight="1" x14ac:dyDescent="0.2"/>
    <row r="1048397" ht="0" hidden="1" customHeight="1" x14ac:dyDescent="0.2"/>
    <row r="1048398" ht="0" hidden="1" customHeight="1" x14ac:dyDescent="0.2"/>
    <row r="1048399" ht="0" hidden="1" customHeight="1" x14ac:dyDescent="0.2"/>
    <row r="1048400" ht="0" hidden="1" customHeight="1" x14ac:dyDescent="0.2"/>
    <row r="1048401" ht="0" hidden="1" customHeight="1" x14ac:dyDescent="0.2"/>
    <row r="1048402" ht="0" hidden="1" customHeight="1" x14ac:dyDescent="0.2"/>
    <row r="1048403" ht="0" hidden="1" customHeight="1" x14ac:dyDescent="0.2"/>
    <row r="1048404" ht="0" hidden="1" customHeight="1" x14ac:dyDescent="0.2"/>
    <row r="1048405" ht="0" hidden="1" customHeight="1" x14ac:dyDescent="0.2"/>
    <row r="1048406" ht="0" hidden="1" customHeight="1" x14ac:dyDescent="0.2"/>
    <row r="1048407" ht="0" hidden="1" customHeight="1" x14ac:dyDescent="0.2"/>
    <row r="1048408" ht="0" hidden="1" customHeight="1" x14ac:dyDescent="0.2"/>
    <row r="1048409" ht="0" hidden="1" customHeight="1" x14ac:dyDescent="0.2"/>
    <row r="1048410" ht="0" hidden="1" customHeight="1" x14ac:dyDescent="0.2"/>
    <row r="1048411" ht="0" hidden="1" customHeight="1" x14ac:dyDescent="0.2"/>
    <row r="1048412" ht="0" hidden="1" customHeight="1" x14ac:dyDescent="0.2"/>
    <row r="1048413" ht="0" hidden="1" customHeight="1" x14ac:dyDescent="0.2"/>
    <row r="1048414" ht="0" hidden="1" customHeight="1" x14ac:dyDescent="0.2"/>
    <row r="1048415" ht="0" hidden="1" customHeight="1" x14ac:dyDescent="0.2"/>
    <row r="1048416" ht="0" hidden="1" customHeight="1" x14ac:dyDescent="0.2"/>
    <row r="1048417" ht="0" hidden="1" customHeight="1" x14ac:dyDescent="0.2"/>
    <row r="1048418" ht="0" hidden="1" customHeight="1" x14ac:dyDescent="0.2"/>
    <row r="1048419" ht="0" hidden="1" customHeight="1" x14ac:dyDescent="0.2"/>
    <row r="1048420" ht="0" hidden="1" customHeight="1" x14ac:dyDescent="0.2"/>
    <row r="1048421" ht="0" hidden="1" customHeight="1" x14ac:dyDescent="0.2"/>
    <row r="1048422" ht="0" hidden="1" customHeight="1" x14ac:dyDescent="0.2"/>
    <row r="1048423" ht="0" hidden="1" customHeight="1" x14ac:dyDescent="0.2"/>
    <row r="1048424" ht="0" hidden="1" customHeight="1" x14ac:dyDescent="0.2"/>
    <row r="1048425" ht="0" hidden="1" customHeight="1" x14ac:dyDescent="0.2"/>
    <row r="1048426" ht="0" hidden="1" customHeight="1" x14ac:dyDescent="0.2"/>
    <row r="1048427" ht="0" hidden="1" customHeight="1" x14ac:dyDescent="0.2"/>
    <row r="1048428" ht="0" hidden="1" customHeight="1" x14ac:dyDescent="0.2"/>
    <row r="1048429" ht="0" hidden="1" customHeight="1" x14ac:dyDescent="0.2"/>
    <row r="1048430" ht="0" hidden="1" customHeight="1" x14ac:dyDescent="0.2"/>
    <row r="1048431" ht="0" hidden="1" customHeight="1" x14ac:dyDescent="0.2"/>
    <row r="1048432" ht="0" hidden="1" customHeight="1" x14ac:dyDescent="0.2"/>
    <row r="1048433" ht="0" hidden="1" customHeight="1" x14ac:dyDescent="0.2"/>
    <row r="1048434" ht="0" hidden="1" customHeight="1" x14ac:dyDescent="0.2"/>
    <row r="1048435" ht="0" hidden="1" customHeight="1" x14ac:dyDescent="0.2"/>
    <row r="1048436" ht="0" hidden="1" customHeight="1" x14ac:dyDescent="0.2"/>
    <row r="1048437" ht="0" hidden="1" customHeight="1" x14ac:dyDescent="0.2"/>
    <row r="1048438" ht="0" hidden="1" customHeight="1" x14ac:dyDescent="0.2"/>
    <row r="1048439" ht="0" hidden="1" customHeight="1" x14ac:dyDescent="0.2"/>
    <row r="1048440" ht="0" hidden="1" customHeight="1" x14ac:dyDescent="0.2"/>
    <row r="1048441" ht="0" hidden="1" customHeight="1" x14ac:dyDescent="0.2"/>
    <row r="1048442" ht="0" hidden="1" customHeight="1" x14ac:dyDescent="0.2"/>
    <row r="1048443" ht="0" hidden="1" customHeight="1" x14ac:dyDescent="0.2"/>
    <row r="1048444" ht="0" hidden="1" customHeight="1" x14ac:dyDescent="0.2"/>
    <row r="1048445" ht="0" hidden="1" customHeight="1" x14ac:dyDescent="0.2"/>
    <row r="1048446" ht="0" hidden="1" customHeight="1" x14ac:dyDescent="0.2"/>
    <row r="1048447" ht="0" hidden="1" customHeight="1" x14ac:dyDescent="0.2"/>
    <row r="1048448" ht="0" hidden="1" customHeight="1" x14ac:dyDescent="0.2"/>
    <row r="1048449" ht="0" hidden="1" customHeight="1" x14ac:dyDescent="0.2"/>
    <row r="1048450" ht="0" hidden="1" customHeight="1" x14ac:dyDescent="0.2"/>
    <row r="1048451" ht="0" hidden="1" customHeight="1" x14ac:dyDescent="0.2"/>
    <row r="1048452" ht="0" hidden="1" customHeight="1" x14ac:dyDescent="0.2"/>
    <row r="1048453" ht="0" hidden="1" customHeight="1" x14ac:dyDescent="0.2"/>
    <row r="1048454" ht="0" hidden="1" customHeight="1" x14ac:dyDescent="0.2"/>
    <row r="1048455" ht="0" hidden="1" customHeight="1" x14ac:dyDescent="0.2"/>
    <row r="1048456" ht="0" hidden="1" customHeight="1" x14ac:dyDescent="0.2"/>
    <row r="1048457" ht="0" hidden="1" customHeight="1" x14ac:dyDescent="0.2"/>
    <row r="1048458" ht="0" hidden="1" customHeight="1" x14ac:dyDescent="0.2"/>
    <row r="1048459" ht="0" hidden="1" customHeight="1" x14ac:dyDescent="0.2"/>
    <row r="1048460" ht="0" hidden="1" customHeight="1" x14ac:dyDescent="0.2"/>
    <row r="1048461" ht="0" hidden="1" customHeight="1" x14ac:dyDescent="0.2"/>
    <row r="1048462" ht="0" hidden="1" customHeight="1" x14ac:dyDescent="0.2"/>
    <row r="1048463" ht="0" hidden="1" customHeight="1" x14ac:dyDescent="0.2"/>
    <row r="1048464" ht="0" hidden="1" customHeight="1" x14ac:dyDescent="0.2"/>
    <row r="1048465" ht="0" hidden="1" customHeight="1" x14ac:dyDescent="0.2"/>
    <row r="1048466" ht="0" hidden="1" customHeight="1" x14ac:dyDescent="0.2"/>
    <row r="1048467" ht="0" hidden="1" customHeight="1" x14ac:dyDescent="0.2"/>
    <row r="1048468" ht="0" hidden="1" customHeight="1" x14ac:dyDescent="0.2"/>
    <row r="1048469" ht="0" hidden="1" customHeight="1" x14ac:dyDescent="0.2"/>
    <row r="1048470" ht="0" hidden="1" customHeight="1" x14ac:dyDescent="0.2"/>
    <row r="1048471" ht="0" hidden="1" customHeight="1" x14ac:dyDescent="0.2"/>
    <row r="1048472" ht="0" hidden="1" customHeight="1" x14ac:dyDescent="0.2"/>
    <row r="1048473" ht="0" hidden="1" customHeight="1" x14ac:dyDescent="0.2"/>
    <row r="1048474" ht="0" hidden="1" customHeight="1" x14ac:dyDescent="0.2"/>
    <row r="1048475" ht="0" hidden="1" customHeight="1" x14ac:dyDescent="0.2"/>
    <row r="1048476" ht="0" hidden="1" customHeight="1" x14ac:dyDescent="0.2"/>
    <row r="1048477" ht="0" hidden="1" customHeight="1" x14ac:dyDescent="0.2"/>
    <row r="1048478" ht="0" hidden="1" customHeight="1" x14ac:dyDescent="0.2"/>
    <row r="1048479" ht="0" hidden="1" customHeight="1" x14ac:dyDescent="0.2"/>
    <row r="1048480" ht="0" hidden="1" customHeight="1" x14ac:dyDescent="0.2"/>
    <row r="1048481" ht="0" hidden="1" customHeight="1" x14ac:dyDescent="0.2"/>
    <row r="1048482" ht="0" hidden="1" customHeight="1" x14ac:dyDescent="0.2"/>
    <row r="1048483" ht="0" hidden="1" customHeight="1" x14ac:dyDescent="0.2"/>
    <row r="1048484" ht="0" hidden="1" customHeight="1" x14ac:dyDescent="0.2"/>
    <row r="1048485" ht="0" hidden="1" customHeight="1" x14ac:dyDescent="0.2"/>
    <row r="1048486" ht="0" hidden="1" customHeight="1" x14ac:dyDescent="0.2"/>
    <row r="1048487" ht="0" hidden="1" customHeight="1" x14ac:dyDescent="0.2"/>
    <row r="1048488" ht="0" hidden="1" customHeight="1" x14ac:dyDescent="0.2"/>
    <row r="1048489" ht="0" hidden="1" customHeight="1" x14ac:dyDescent="0.2"/>
    <row r="1048490" ht="0" hidden="1" customHeight="1" x14ac:dyDescent="0.2"/>
    <row r="1048491" ht="0" hidden="1" customHeight="1" x14ac:dyDescent="0.2"/>
    <row r="1048492" ht="0" hidden="1" customHeight="1" x14ac:dyDescent="0.2"/>
    <row r="1048493" ht="0" hidden="1" customHeight="1" x14ac:dyDescent="0.2"/>
    <row r="1048494" ht="0" hidden="1" customHeight="1" x14ac:dyDescent="0.2"/>
    <row r="1048495" ht="0" hidden="1" customHeight="1" x14ac:dyDescent="0.2"/>
    <row r="1048496" ht="0" hidden="1" customHeight="1" x14ac:dyDescent="0.2"/>
    <row r="1048497" ht="0" hidden="1" customHeight="1" x14ac:dyDescent="0.2"/>
    <row r="1048498" ht="0" hidden="1" customHeight="1" x14ac:dyDescent="0.2"/>
    <row r="1048499" ht="0" hidden="1" customHeight="1" x14ac:dyDescent="0.2"/>
    <row r="1048500" ht="0" hidden="1" customHeight="1" x14ac:dyDescent="0.2"/>
    <row r="1048501" ht="0" hidden="1" customHeight="1" x14ac:dyDescent="0.2"/>
    <row r="1048502" ht="0" hidden="1" customHeight="1" x14ac:dyDescent="0.2"/>
    <row r="1048503" ht="0" hidden="1" customHeight="1" x14ac:dyDescent="0.2"/>
    <row r="1048504" ht="0" hidden="1" customHeight="1" x14ac:dyDescent="0.2"/>
    <row r="1048505" ht="0" hidden="1" customHeight="1" x14ac:dyDescent="0.2"/>
    <row r="1048506" ht="0" hidden="1" customHeight="1" x14ac:dyDescent="0.2"/>
    <row r="1048507" ht="0" hidden="1" customHeight="1" x14ac:dyDescent="0.2"/>
    <row r="1048508" ht="0" hidden="1" customHeight="1" x14ac:dyDescent="0.2"/>
    <row r="1048509" ht="0" hidden="1" customHeight="1" x14ac:dyDescent="0.2"/>
    <row r="1048510" ht="0" hidden="1" customHeight="1" x14ac:dyDescent="0.2"/>
    <row r="1048511" ht="0" hidden="1" customHeight="1" x14ac:dyDescent="0.2"/>
    <row r="1048512" ht="0" hidden="1" customHeight="1" x14ac:dyDescent="0.2"/>
    <row r="1048513" ht="0" hidden="1" customHeight="1" x14ac:dyDescent="0.2"/>
    <row r="1048514" ht="0" hidden="1" customHeight="1" x14ac:dyDescent="0.2"/>
    <row r="1048515" ht="0" hidden="1" customHeight="1" x14ac:dyDescent="0.2"/>
    <row r="1048516" ht="0" hidden="1" customHeight="1" x14ac:dyDescent="0.2"/>
    <row r="1048517" ht="0" hidden="1" customHeight="1" x14ac:dyDescent="0.2"/>
    <row r="1048518" ht="0" hidden="1" customHeight="1" x14ac:dyDescent="0.2"/>
    <row r="1048519" ht="0" hidden="1" customHeight="1" x14ac:dyDescent="0.2"/>
    <row r="1048520" ht="0" hidden="1" customHeight="1" x14ac:dyDescent="0.2"/>
    <row r="1048521" ht="0" hidden="1" customHeight="1" x14ac:dyDescent="0.2"/>
    <row r="1048522" ht="0" hidden="1" customHeight="1" x14ac:dyDescent="0.2"/>
    <row r="1048523" ht="0" hidden="1" customHeight="1" x14ac:dyDescent="0.2"/>
    <row r="1048524" ht="12.75" hidden="1" x14ac:dyDescent="0.2"/>
    <row r="1048525" ht="15.75" hidden="1" customHeight="1" x14ac:dyDescent="0.2"/>
    <row r="1048526" ht="12.75" hidden="1" x14ac:dyDescent="0.2"/>
    <row r="1048527" ht="0" hidden="1" customHeight="1" x14ac:dyDescent="0.2"/>
    <row r="1048528" ht="12.75" x14ac:dyDescent="0.2"/>
    <row r="1048529" ht="12.75" x14ac:dyDescent="0.2"/>
    <row r="1048530" ht="12.75" x14ac:dyDescent="0.2"/>
    <row r="1048531" ht="12.75" x14ac:dyDescent="0.2"/>
    <row r="1048532" ht="12.75" x14ac:dyDescent="0.2"/>
    <row r="1048533" ht="12.75" x14ac:dyDescent="0.2"/>
    <row r="1048534" ht="12.75" x14ac:dyDescent="0.2"/>
    <row r="1048535" ht="12.75" x14ac:dyDescent="0.2"/>
    <row r="1048536" ht="12.75" x14ac:dyDescent="0.2"/>
    <row r="1048537" ht="12.75" x14ac:dyDescent="0.2"/>
    <row r="1048538" ht="12.75" x14ac:dyDescent="0.2"/>
    <row r="1048539" ht="12.75" x14ac:dyDescent="0.2"/>
    <row r="1048540" ht="12.75" x14ac:dyDescent="0.2"/>
    <row r="1048541" ht="12.75" x14ac:dyDescent="0.2"/>
    <row r="1048542" ht="12.75" x14ac:dyDescent="0.2"/>
    <row r="1048543" ht="12.75" x14ac:dyDescent="0.2"/>
    <row r="1048544" ht="12.75" x14ac:dyDescent="0.2"/>
    <row r="1048545" ht="12.75" x14ac:dyDescent="0.2"/>
    <row r="1048546" ht="0" hidden="1" customHeight="1" x14ac:dyDescent="0.2"/>
    <row r="1048547" ht="12.75" x14ac:dyDescent="0.2"/>
    <row r="1048548" ht="12.75" x14ac:dyDescent="0.2"/>
    <row r="1048549" ht="12.75" x14ac:dyDescent="0.2"/>
    <row r="1048550" ht="12.75" x14ac:dyDescent="0.2"/>
    <row r="1048551" ht="12.75" x14ac:dyDescent="0.2"/>
    <row r="1048552" ht="12.75" x14ac:dyDescent="0.2"/>
    <row r="1048553" ht="12.75" x14ac:dyDescent="0.2"/>
    <row r="1048554" ht="12.75" x14ac:dyDescent="0.2"/>
    <row r="1048555" ht="12.75" x14ac:dyDescent="0.2"/>
    <row r="1048556" ht="12.75" x14ac:dyDescent="0.2"/>
    <row r="1048557" ht="12.75" x14ac:dyDescent="0.2"/>
    <row r="1048558" ht="12.75" x14ac:dyDescent="0.2"/>
    <row r="1048559" ht="12.75" x14ac:dyDescent="0.2"/>
    <row r="1048560" ht="0" hidden="1" customHeight="1" x14ac:dyDescent="0.2"/>
    <row r="1048561" ht="0" hidden="1" customHeight="1" x14ac:dyDescent="0.2"/>
  </sheetData>
  <sheetProtection selectLockedCells="1"/>
  <mergeCells count="31">
    <mergeCell ref="C20:K20"/>
    <mergeCell ref="C21:K21"/>
    <mergeCell ref="C19:E19"/>
    <mergeCell ref="F18:H18"/>
    <mergeCell ref="F19:H19"/>
    <mergeCell ref="I19:K19"/>
    <mergeCell ref="I18:K18"/>
    <mergeCell ref="C18:E18"/>
    <mergeCell ref="C13:K13"/>
    <mergeCell ref="C9:K9"/>
    <mergeCell ref="C10:E10"/>
    <mergeCell ref="F10:H10"/>
    <mergeCell ref="C11:E11"/>
    <mergeCell ref="F11:H11"/>
    <mergeCell ref="I11:K11"/>
    <mergeCell ref="M1:O1"/>
    <mergeCell ref="J25:K25"/>
    <mergeCell ref="D24:E24"/>
    <mergeCell ref="F24:G24"/>
    <mergeCell ref="H24:I24"/>
    <mergeCell ref="C23:K23"/>
    <mergeCell ref="J24:K24"/>
    <mergeCell ref="C5:D7"/>
    <mergeCell ref="D25:E25"/>
    <mergeCell ref="F25:G25"/>
    <mergeCell ref="I10:K10"/>
    <mergeCell ref="H25:I25"/>
    <mergeCell ref="C24:C25"/>
    <mergeCell ref="C17:K17"/>
    <mergeCell ref="C22:K22"/>
    <mergeCell ref="C14:C15"/>
  </mergeCells>
  <conditionalFormatting sqref="E15">
    <cfRule type="containsText" dxfId="56" priority="114" operator="containsText" text="SIM">
      <formula>NOT(ISERROR(SEARCH("SIM",E15)))</formula>
    </cfRule>
  </conditionalFormatting>
  <conditionalFormatting sqref="F15:G15">
    <cfRule type="containsText" dxfId="55" priority="130" operator="containsText" text="SIM">
      <formula>NOT(ISERROR(SEARCH("SIM",F15)))</formula>
    </cfRule>
  </conditionalFormatting>
  <conditionalFormatting sqref="C11:K1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">
    <cfRule type="containsText" dxfId="54" priority="106" operator="containsText" text="SIM">
      <formula>NOT(ISERROR(SEARCH("SIM",H15)))</formula>
    </cfRule>
  </conditionalFormatting>
  <conditionalFormatting sqref="A9:A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ntainsText" dxfId="53" priority="81" operator="containsText" text="SIM">
      <formula>NOT(ISERROR(SEARCH("SIM",I15)))</formula>
    </cfRule>
  </conditionalFormatting>
  <conditionalFormatting sqref="J15">
    <cfRule type="containsText" dxfId="52" priority="80" operator="containsText" text="SIM">
      <formula>NOT(ISERROR(SEARCH("SIM",J15)))</formula>
    </cfRule>
  </conditionalFormatting>
  <conditionalFormatting sqref="K15">
    <cfRule type="containsText" dxfId="51" priority="79" operator="containsText" text="SIM">
      <formula>NOT(ISERROR(SEARCH("SIM",K15)))</formula>
    </cfRule>
  </conditionalFormatting>
  <conditionalFormatting sqref="J16">
    <cfRule type="cellIs" dxfId="50" priority="68" operator="greaterThan">
      <formula>3.5</formula>
    </cfRule>
    <cfRule type="cellIs" dxfId="49" priority="69" operator="greaterThan">
      <formula>#REF!</formula>
    </cfRule>
  </conditionalFormatting>
  <conditionalFormatting sqref="J16">
    <cfRule type="cellIs" dxfId="48" priority="67" operator="greaterThan">
      <formula>2.5</formula>
    </cfRule>
  </conditionalFormatting>
  <conditionalFormatting sqref="F16:H16">
    <cfRule type="containsText" dxfId="47" priority="65" operator="containsText" text="NÃO">
      <formula>NOT(ISERROR(SEARCH("NÃO",F16)))</formula>
    </cfRule>
    <cfRule type="containsText" dxfId="46" priority="66" operator="containsText" text="SIM">
      <formula>NOT(ISERROR(SEARCH("SIM",F16)))</formula>
    </cfRule>
  </conditionalFormatting>
  <conditionalFormatting sqref="D15">
    <cfRule type="containsText" dxfId="45" priority="9" operator="containsText" text="SIM">
      <formula>NOT(ISERROR(SEARCH("SIM",D15)))</formula>
    </cfRule>
  </conditionalFormatting>
  <conditionalFormatting sqref="M11:N12">
    <cfRule type="cellIs" dxfId="44" priority="2" operator="greaterThanOrEqual">
      <formula>0.6</formula>
    </cfRule>
    <cfRule type="cellIs" dxfId="43" priority="5" operator="greaterThanOrEqual">
      <formula>1</formula>
    </cfRule>
  </conditionalFormatting>
  <conditionalFormatting sqref="N9:N10">
    <cfRule type="cellIs" dxfId="42" priority="4" operator="greaterThanOrEqual">
      <formula>1</formula>
    </cfRule>
  </conditionalFormatting>
  <conditionalFormatting sqref="M9:M10">
    <cfRule type="cellIs" dxfId="41" priority="3" operator="greaterThanOrEqual">
      <formula>1</formula>
    </cfRule>
  </conditionalFormatting>
  <conditionalFormatting sqref="M14:N18">
    <cfRule type="containsText" dxfId="40" priority="1" operator="containsText" text="GOLEADA">
      <formula>NOT(ISERROR(SEARCH("GOLEADA",M14)))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7"/>
  <dimension ref="A1:AN65"/>
  <sheetViews>
    <sheetView showGridLines="0" zoomScale="70" zoomScaleNormal="70" workbookViewId="0">
      <selection activeCell="A26" sqref="A26"/>
    </sheetView>
  </sheetViews>
  <sheetFormatPr defaultRowHeight="15" x14ac:dyDescent="0.25"/>
  <cols>
    <col min="1" max="2" width="30.7109375" style="89" customWidth="1"/>
    <col min="3" max="8" width="10.7109375" style="89" customWidth="1"/>
    <col min="9" max="9" width="30.7109375" style="89" customWidth="1"/>
    <col min="10" max="10" width="2.140625" customWidth="1"/>
    <col min="11" max="11" width="1.5703125" style="3" customWidth="1"/>
    <col min="12" max="12" width="14.7109375" style="82" customWidth="1"/>
    <col min="13" max="13" width="8.140625" style="82" bestFit="1" customWidth="1"/>
    <col min="14" max="14" width="9" style="82" bestFit="1" customWidth="1"/>
    <col min="15" max="15" width="14.7109375" style="82" customWidth="1"/>
    <col min="16" max="16" width="9.140625" style="82" customWidth="1"/>
    <col min="17" max="17" width="12.140625" style="82" customWidth="1"/>
    <col min="18" max="19" width="9.140625" style="82" customWidth="1"/>
    <col min="20" max="20" width="8.42578125" style="82" customWidth="1"/>
    <col min="21" max="23" width="8.42578125" style="3" customWidth="1"/>
    <col min="24" max="24" width="9.140625" style="3" customWidth="1"/>
    <col min="25" max="25" width="7.85546875" style="82" customWidth="1"/>
    <col min="26" max="26" width="7.7109375" style="82" customWidth="1"/>
    <col min="27" max="27" width="4.7109375" style="82" customWidth="1"/>
    <col min="28" max="28" width="7" style="82" customWidth="1"/>
    <col min="29" max="32" width="8.42578125" style="82" customWidth="1"/>
    <col min="33" max="40" width="9.140625" style="82"/>
    <col min="41" max="16384" width="9.140625" style="3"/>
  </cols>
  <sheetData>
    <row r="1" spans="1:40" ht="15.75" thickBot="1" x14ac:dyDescent="0.3">
      <c r="A1" s="88" t="s">
        <v>274</v>
      </c>
      <c r="B1" s="88"/>
      <c r="C1" s="88"/>
      <c r="D1" s="88"/>
      <c r="E1" s="88"/>
      <c r="F1" s="88"/>
      <c r="G1" s="88"/>
      <c r="H1" s="88"/>
      <c r="I1" s="88"/>
      <c r="L1" s="140" t="s">
        <v>14</v>
      </c>
      <c r="M1" s="140"/>
      <c r="N1" s="140"/>
      <c r="O1" s="140"/>
      <c r="Q1" s="82" t="str">
        <f>ANALISES!E2</f>
        <v>Colon de Santa Fe</v>
      </c>
      <c r="R1" s="82" t="str">
        <f>ANALISES!E3</f>
        <v>Aldosivi Mar del Plata</v>
      </c>
    </row>
    <row r="2" spans="1:40" ht="15.75" customHeight="1" thickBot="1" x14ac:dyDescent="0.3">
      <c r="A2" s="87" t="s">
        <v>68</v>
      </c>
      <c r="B2" s="87" t="s">
        <v>275</v>
      </c>
      <c r="C2" s="87" t="s">
        <v>276</v>
      </c>
      <c r="D2" s="87"/>
      <c r="E2" s="87" t="s">
        <v>67</v>
      </c>
      <c r="F2" s="87"/>
      <c r="G2" s="87" t="s">
        <v>14</v>
      </c>
      <c r="H2" s="87"/>
      <c r="I2" s="87" t="s">
        <v>275</v>
      </c>
      <c r="L2" s="156" t="str">
        <f>ANALISES!E2</f>
        <v>Colon de Santa Fe</v>
      </c>
      <c r="M2" s="157"/>
      <c r="N2" s="156" t="str">
        <f>ANALISES!E3</f>
        <v>Aldosivi Mar del Plata</v>
      </c>
      <c r="O2" s="157"/>
      <c r="P2" s="82" t="s">
        <v>1</v>
      </c>
      <c r="Q2" s="82" t="s">
        <v>67</v>
      </c>
      <c r="R2" s="82" t="s">
        <v>268</v>
      </c>
      <c r="S2" s="82" t="s">
        <v>285</v>
      </c>
      <c r="T2" s="82" t="s">
        <v>286</v>
      </c>
      <c r="U2" s="82" t="s">
        <v>287</v>
      </c>
      <c r="V2" s="3" t="s">
        <v>284</v>
      </c>
      <c r="W2" s="3" t="s">
        <v>288</v>
      </c>
    </row>
    <row r="3" spans="1:40" ht="15.75" customHeight="1" thickBot="1" x14ac:dyDescent="0.3">
      <c r="A3" s="89" t="s">
        <v>324</v>
      </c>
      <c r="B3" s="89" t="s">
        <v>564</v>
      </c>
      <c r="C3" s="89">
        <v>3</v>
      </c>
      <c r="D3" s="89">
        <v>0</v>
      </c>
      <c r="E3" s="89">
        <v>2</v>
      </c>
      <c r="F3" s="89">
        <v>0</v>
      </c>
      <c r="G3" s="89">
        <v>4</v>
      </c>
      <c r="H3" s="89">
        <v>4</v>
      </c>
      <c r="I3" s="89" t="s">
        <v>170</v>
      </c>
      <c r="L3" s="153">
        <f>AVERAGEIF(B3:B13,L2,G3:G13)</f>
        <v>3</v>
      </c>
      <c r="M3" s="155"/>
      <c r="N3" s="155">
        <f>AVERAGEIF(B3:B13,L2,H3:H13)</f>
        <v>4</v>
      </c>
      <c r="O3" s="154"/>
      <c r="P3" s="82">
        <f>COUNTIF(B3:B12,ANALISES!E2)</f>
        <v>1</v>
      </c>
      <c r="Q3" s="82" t="str">
        <f>IF(AND(B3=$Q$1,OR(E3&gt;0,F3&gt;0)),"SIM","NÃO")</f>
        <v>NÃO</v>
      </c>
      <c r="R3" s="82" t="str">
        <f>IF(AND(B3=$Q$1,OR(C3&gt;0,D3&gt;0)),"SIM","NÃO")</f>
        <v>NÃO</v>
      </c>
      <c r="S3" s="82" t="str">
        <f>IF(AND(B3=$Q$1,C3&gt;0,D3&gt;0),"SIM","NÃO")</f>
        <v>NÃO</v>
      </c>
      <c r="T3" s="82" t="str">
        <f>IF(AND(B3=$Q$1,SUM(C3:D3)&gt;0.5),"SIM","NÃO")</f>
        <v>NÃO</v>
      </c>
      <c r="U3" s="82" t="str">
        <f>IF(AND(B3=$Q$1,SUM(C3:D3)&gt;1.5),"SIM","NÃO")</f>
        <v>NÃO</v>
      </c>
      <c r="V3" s="82" t="str">
        <f>IF(AND(B3=$Q$1,SUM(C3:D3)&gt;2.5),"SIM","NÃO")</f>
        <v>NÃO</v>
      </c>
      <c r="W3" s="82" t="str">
        <f>IF(AND(B3=$Q$1,SUM(C3:D3)&gt;3.5),"SIM","NÃO")</f>
        <v>NÃO</v>
      </c>
    </row>
    <row r="4" spans="1:40" ht="15.75" customHeight="1" thickBot="1" x14ac:dyDescent="0.3">
      <c r="A4" s="89" t="s">
        <v>324</v>
      </c>
      <c r="B4" s="89" t="s">
        <v>564</v>
      </c>
      <c r="C4" s="89">
        <v>0</v>
      </c>
      <c r="D4" s="89">
        <v>2</v>
      </c>
      <c r="E4" s="89">
        <v>0</v>
      </c>
      <c r="F4" s="89">
        <v>1</v>
      </c>
      <c r="G4" s="89">
        <v>10</v>
      </c>
      <c r="H4" s="89">
        <v>2</v>
      </c>
      <c r="I4" s="89" t="s">
        <v>170</v>
      </c>
      <c r="L4" s="140" t="s">
        <v>277</v>
      </c>
      <c r="M4" s="140"/>
      <c r="N4" s="140"/>
      <c r="O4" s="140"/>
      <c r="Q4" s="82" t="str">
        <f t="shared" ref="Q4:Q13" si="0">IF(AND(B4=$Q$1,OR(E4&gt;0,F4&gt;0)),"SIM","NÃO")</f>
        <v>NÃO</v>
      </c>
      <c r="R4" s="82" t="str">
        <f t="shared" ref="R4:R12" si="1">IF(AND(B4=$Q$1,OR(C4&gt;0,D4&gt;0)),"SIM","NÃO")</f>
        <v>NÃO</v>
      </c>
      <c r="S4" s="82" t="str">
        <f t="shared" ref="S4:S12" si="2">IF(AND(B4=$Q$1,C4&gt;0,D4&gt;0),"SIM","NÃO")</f>
        <v>NÃO</v>
      </c>
      <c r="T4" s="82" t="str">
        <f t="shared" ref="T4:T12" si="3">IF(AND(B4=$Q$1,SUM(C4:D4)&gt;0.5),"SIM","NÃO")</f>
        <v>NÃO</v>
      </c>
      <c r="U4" s="82" t="str">
        <f t="shared" ref="U4:U12" si="4">IF(AND(B4=$Q$1,SUM(C4:D4)&gt;1.5),"SIM","NÃO")</f>
        <v>NÃO</v>
      </c>
      <c r="V4" s="82" t="str">
        <f t="shared" ref="V4:V12" si="5">IF(AND(B4=$Q$1,SUM(C4:D4)&gt;2.5),"SIM","NÃO")</f>
        <v>NÃO</v>
      </c>
      <c r="W4" s="82" t="str">
        <f t="shared" ref="W4:W12" si="6">IF(AND(B4=$Q$1,SUM(C4:D4)&gt;3.5),"SIM","NÃO")</f>
        <v>NÃO</v>
      </c>
    </row>
    <row r="5" spans="1:40" ht="15.75" customHeight="1" thickBot="1" x14ac:dyDescent="0.3">
      <c r="A5" s="89" t="s">
        <v>324</v>
      </c>
      <c r="B5" s="89" t="s">
        <v>564</v>
      </c>
      <c r="C5" s="89">
        <v>1</v>
      </c>
      <c r="D5" s="89">
        <v>1</v>
      </c>
      <c r="E5" s="89">
        <v>1</v>
      </c>
      <c r="F5" s="89">
        <v>1</v>
      </c>
      <c r="G5" s="89">
        <v>5</v>
      </c>
      <c r="H5" s="89">
        <v>4</v>
      </c>
      <c r="I5" s="89" t="s">
        <v>170</v>
      </c>
      <c r="L5" s="156" t="str">
        <f>L2</f>
        <v>Colon de Santa Fe</v>
      </c>
      <c r="M5" s="157"/>
      <c r="N5" s="156" t="str">
        <f>N2</f>
        <v>Aldosivi Mar del Plata</v>
      </c>
      <c r="O5" s="157"/>
      <c r="Q5" s="82" t="str">
        <f t="shared" si="0"/>
        <v>NÃO</v>
      </c>
      <c r="R5" s="82" t="str">
        <f t="shared" si="1"/>
        <v>NÃO</v>
      </c>
      <c r="S5" s="82" t="str">
        <f t="shared" si="2"/>
        <v>NÃO</v>
      </c>
      <c r="T5" s="82" t="str">
        <f t="shared" si="3"/>
        <v>NÃO</v>
      </c>
      <c r="U5" s="82" t="str">
        <f t="shared" si="4"/>
        <v>NÃO</v>
      </c>
      <c r="V5" s="82" t="str">
        <f t="shared" si="5"/>
        <v>NÃO</v>
      </c>
      <c r="W5" s="82" t="str">
        <f t="shared" si="6"/>
        <v>NÃO</v>
      </c>
    </row>
    <row r="6" spans="1:40" ht="15.75" customHeight="1" thickBot="1" x14ac:dyDescent="0.3">
      <c r="A6" s="89" t="s">
        <v>360</v>
      </c>
      <c r="B6" s="89" t="s">
        <v>170</v>
      </c>
      <c r="C6" s="89">
        <v>2</v>
      </c>
      <c r="D6" s="89">
        <v>0</v>
      </c>
      <c r="E6" s="89">
        <v>1</v>
      </c>
      <c r="F6" s="89">
        <v>0</v>
      </c>
      <c r="G6" s="89">
        <v>3</v>
      </c>
      <c r="H6" s="89">
        <v>4</v>
      </c>
      <c r="I6" s="89" t="s">
        <v>564</v>
      </c>
      <c r="L6" s="153">
        <f>AVERAGEIF(B3:B13,L2,E3:E13)</f>
        <v>1</v>
      </c>
      <c r="M6" s="154"/>
      <c r="N6" s="153">
        <f>AVERAGEIF(B3:B13,L2,F3:F13)</f>
        <v>0</v>
      </c>
      <c r="O6" s="154"/>
      <c r="Q6" s="82" t="str">
        <f t="shared" si="0"/>
        <v>SIM</v>
      </c>
      <c r="R6" s="82" t="str">
        <f t="shared" si="1"/>
        <v>SIM</v>
      </c>
      <c r="S6" s="82" t="str">
        <f t="shared" si="2"/>
        <v>NÃO</v>
      </c>
      <c r="T6" s="82" t="str">
        <f t="shared" si="3"/>
        <v>SIM</v>
      </c>
      <c r="U6" s="82" t="str">
        <f t="shared" si="4"/>
        <v>SIM</v>
      </c>
      <c r="V6" s="82" t="str">
        <f t="shared" si="5"/>
        <v>NÃO</v>
      </c>
      <c r="W6" s="82" t="str">
        <f t="shared" si="6"/>
        <v>NÃO</v>
      </c>
    </row>
    <row r="7" spans="1:40" ht="15.75" customHeight="1" thickBot="1" x14ac:dyDescent="0.3">
      <c r="A7" s="89" t="s">
        <v>360</v>
      </c>
      <c r="B7" s="89" t="s">
        <v>564</v>
      </c>
      <c r="C7" s="89">
        <v>2</v>
      </c>
      <c r="D7" s="89">
        <v>1</v>
      </c>
      <c r="E7" s="89">
        <v>1</v>
      </c>
      <c r="F7" s="89">
        <v>1</v>
      </c>
      <c r="G7" s="89">
        <v>6</v>
      </c>
      <c r="H7" s="89">
        <v>3</v>
      </c>
      <c r="I7" s="89" t="s">
        <v>170</v>
      </c>
      <c r="L7" s="140" t="s">
        <v>279</v>
      </c>
      <c r="M7" s="140"/>
      <c r="N7" s="140"/>
      <c r="O7" s="140"/>
      <c r="Q7" s="82" t="str">
        <f t="shared" si="0"/>
        <v>NÃO</v>
      </c>
      <c r="R7" s="82" t="str">
        <f t="shared" si="1"/>
        <v>NÃO</v>
      </c>
      <c r="S7" s="82" t="str">
        <f t="shared" si="2"/>
        <v>NÃO</v>
      </c>
      <c r="T7" s="82" t="str">
        <f t="shared" si="3"/>
        <v>NÃO</v>
      </c>
      <c r="U7" s="82" t="str">
        <f t="shared" si="4"/>
        <v>NÃO</v>
      </c>
      <c r="V7" s="82" t="str">
        <f t="shared" si="5"/>
        <v>NÃO</v>
      </c>
      <c r="W7" s="82" t="str">
        <f t="shared" si="6"/>
        <v>NÃO</v>
      </c>
    </row>
    <row r="8" spans="1:40" ht="15.75" customHeight="1" thickBot="1" x14ac:dyDescent="0.3">
      <c r="L8" s="153">
        <f>SUM(L6:O6)</f>
        <v>1</v>
      </c>
      <c r="M8" s="155"/>
      <c r="N8" s="155"/>
      <c r="O8" s="154"/>
      <c r="Q8" s="82" t="str">
        <f t="shared" si="0"/>
        <v>NÃO</v>
      </c>
      <c r="R8" s="82" t="str">
        <f t="shared" si="1"/>
        <v>NÃO</v>
      </c>
      <c r="S8" s="82" t="str">
        <f t="shared" si="2"/>
        <v>NÃO</v>
      </c>
      <c r="T8" s="82" t="str">
        <f t="shared" si="3"/>
        <v>NÃO</v>
      </c>
      <c r="U8" s="82" t="str">
        <f t="shared" si="4"/>
        <v>NÃO</v>
      </c>
      <c r="V8" s="82" t="str">
        <f t="shared" si="5"/>
        <v>NÃO</v>
      </c>
      <c r="W8" s="82" t="str">
        <f t="shared" si="6"/>
        <v>NÃO</v>
      </c>
    </row>
    <row r="9" spans="1:40" ht="15.75" customHeight="1" thickBot="1" x14ac:dyDescent="0.3">
      <c r="L9" s="140" t="s">
        <v>273</v>
      </c>
      <c r="M9" s="140"/>
      <c r="N9" s="140"/>
      <c r="O9" s="140"/>
      <c r="Q9" s="82" t="str">
        <f t="shared" si="0"/>
        <v>NÃO</v>
      </c>
      <c r="R9" s="82" t="str">
        <f t="shared" si="1"/>
        <v>NÃO</v>
      </c>
      <c r="S9" s="82" t="str">
        <f t="shared" si="2"/>
        <v>NÃO</v>
      </c>
      <c r="T9" s="82" t="str">
        <f t="shared" si="3"/>
        <v>NÃO</v>
      </c>
      <c r="U9" s="82" t="str">
        <f t="shared" si="4"/>
        <v>NÃO</v>
      </c>
      <c r="V9" s="82" t="str">
        <f t="shared" si="5"/>
        <v>NÃO</v>
      </c>
      <c r="W9" s="82" t="str">
        <f t="shared" si="6"/>
        <v>NÃO</v>
      </c>
    </row>
    <row r="10" spans="1:40" ht="15" customHeight="1" thickBot="1" x14ac:dyDescent="0.3">
      <c r="L10" s="156" t="str">
        <f>L2</f>
        <v>Colon de Santa Fe</v>
      </c>
      <c r="M10" s="157"/>
      <c r="N10" s="156" t="str">
        <f>N2</f>
        <v>Aldosivi Mar del Plata</v>
      </c>
      <c r="O10" s="157"/>
      <c r="Q10" s="82" t="str">
        <f t="shared" si="0"/>
        <v>NÃO</v>
      </c>
      <c r="R10" s="82" t="str">
        <f t="shared" si="1"/>
        <v>NÃO</v>
      </c>
      <c r="S10" s="82" t="str">
        <f t="shared" si="2"/>
        <v>NÃO</v>
      </c>
      <c r="T10" s="82" t="str">
        <f t="shared" si="3"/>
        <v>NÃO</v>
      </c>
      <c r="U10" s="82" t="str">
        <f t="shared" si="4"/>
        <v>NÃO</v>
      </c>
      <c r="V10" s="82" t="str">
        <f t="shared" si="5"/>
        <v>NÃO</v>
      </c>
      <c r="W10" s="82" t="str">
        <f t="shared" si="6"/>
        <v>NÃO</v>
      </c>
    </row>
    <row r="11" spans="1:40" ht="15" customHeight="1" thickBot="1" x14ac:dyDescent="0.3">
      <c r="L11" s="153">
        <f>AVERAGEIF(B3:B13,L2,C3:C13)</f>
        <v>2</v>
      </c>
      <c r="M11" s="154"/>
      <c r="N11" s="153">
        <f>AVERAGEIF(B3:B13,L2,D3:D13)</f>
        <v>0</v>
      </c>
      <c r="O11" s="154"/>
      <c r="Q11" s="82" t="str">
        <f t="shared" si="0"/>
        <v>NÃO</v>
      </c>
      <c r="R11" s="82" t="str">
        <f t="shared" si="1"/>
        <v>NÃO</v>
      </c>
      <c r="S11" s="82" t="str">
        <f t="shared" si="2"/>
        <v>NÃO</v>
      </c>
      <c r="T11" s="82" t="str">
        <f t="shared" si="3"/>
        <v>NÃO</v>
      </c>
      <c r="U11" s="82" t="str">
        <f t="shared" si="4"/>
        <v>NÃO</v>
      </c>
      <c r="V11" s="82" t="str">
        <f t="shared" si="5"/>
        <v>NÃO</v>
      </c>
      <c r="W11" s="82" t="str">
        <f t="shared" si="6"/>
        <v>NÃO</v>
      </c>
    </row>
    <row r="12" spans="1:40" ht="15" customHeight="1" thickBot="1" x14ac:dyDescent="0.3">
      <c r="L12" s="140" t="s">
        <v>278</v>
      </c>
      <c r="M12" s="140"/>
      <c r="N12" s="140"/>
      <c r="O12" s="140"/>
      <c r="Q12" s="82" t="str">
        <f t="shared" si="0"/>
        <v>NÃO</v>
      </c>
      <c r="R12" s="82" t="str">
        <f t="shared" si="1"/>
        <v>NÃO</v>
      </c>
      <c r="S12" s="82" t="str">
        <f t="shared" si="2"/>
        <v>NÃO</v>
      </c>
      <c r="T12" s="82" t="str">
        <f t="shared" si="3"/>
        <v>NÃO</v>
      </c>
      <c r="U12" s="82" t="str">
        <f t="shared" si="4"/>
        <v>NÃO</v>
      </c>
      <c r="V12" s="82" t="str">
        <f t="shared" si="5"/>
        <v>NÃO</v>
      </c>
      <c r="W12" s="82" t="str">
        <f t="shared" si="6"/>
        <v>NÃO</v>
      </c>
    </row>
    <row r="13" spans="1:40" ht="15.75" customHeight="1" thickBot="1" x14ac:dyDescent="0.3">
      <c r="L13" s="153">
        <f>SUM(L11,N11)</f>
        <v>2</v>
      </c>
      <c r="M13" s="155"/>
      <c r="N13" s="155"/>
      <c r="O13" s="154"/>
      <c r="Q13" s="82" t="str">
        <f t="shared" si="0"/>
        <v>NÃO</v>
      </c>
      <c r="R13" s="82" t="str">
        <f>IF(AND(B13=$Q$1,OR(L14&gt;0,M14&gt;0)),"SIM","NÃO")</f>
        <v>NÃO</v>
      </c>
      <c r="S13" s="82" t="str">
        <f>IF(AND(B13=$Q$1,L14&gt;0,M14&gt;0),"SIM","NÃO")</f>
        <v>NÃO</v>
      </c>
      <c r="T13" s="82" t="str">
        <f>IF(AND(B13=$Q$1,SUM(L14:M14)&gt;0.5),"SIM","NÃO")</f>
        <v>NÃO</v>
      </c>
      <c r="U13" s="82" t="str">
        <f>IF(AND(B13=$Q$1,SUM(L14:M14)&gt;1.5),"SIM","NÃO")</f>
        <v>NÃO</v>
      </c>
      <c r="V13" s="82" t="str">
        <f>IF(AND(B13=$Q$1,SUM(L14:M14)&gt;2.5),"SIM","NÃO")</f>
        <v>NÃO</v>
      </c>
      <c r="W13" s="82" t="str">
        <f>IF(AND(B13=$Q$1,SUM(L14:M14)&gt;3.5),"SIM","NÃO")</f>
        <v>NÃO</v>
      </c>
    </row>
    <row r="14" spans="1:40" ht="15.75" customHeight="1" thickBot="1" x14ac:dyDescent="0.3">
      <c r="L14" s="140" t="s">
        <v>14</v>
      </c>
      <c r="M14" s="140"/>
      <c r="N14" s="140"/>
      <c r="O14" s="140"/>
      <c r="Q14" s="82">
        <f t="shared" ref="Q14:W14" si="7">COUNTIF(Q3:Q12,"SIM")</f>
        <v>1</v>
      </c>
      <c r="R14" s="82">
        <f t="shared" si="7"/>
        <v>1</v>
      </c>
      <c r="S14" s="82">
        <f t="shared" si="7"/>
        <v>0</v>
      </c>
      <c r="T14" s="82">
        <f t="shared" si="7"/>
        <v>1</v>
      </c>
      <c r="U14" s="82">
        <f t="shared" si="7"/>
        <v>1</v>
      </c>
      <c r="V14" s="82">
        <f t="shared" si="7"/>
        <v>0</v>
      </c>
      <c r="W14" s="82">
        <f t="shared" si="7"/>
        <v>0</v>
      </c>
    </row>
    <row r="15" spans="1:40" ht="15.75" thickBot="1" x14ac:dyDescent="0.3">
      <c r="A15" s="88" t="s">
        <v>289</v>
      </c>
      <c r="B15" s="88"/>
      <c r="C15" s="88"/>
      <c r="D15" s="88"/>
      <c r="E15" s="88"/>
      <c r="F15" s="88"/>
      <c r="G15" s="88"/>
      <c r="H15" s="88"/>
      <c r="I15" s="88"/>
      <c r="L15" s="156" t="str">
        <f>ANALISES!E2</f>
        <v>Colon de Santa Fe</v>
      </c>
      <c r="M15" s="157"/>
      <c r="N15" s="156" t="s">
        <v>308</v>
      </c>
      <c r="O15" s="157"/>
      <c r="Q15" s="76">
        <f>Q14/$P$3</f>
        <v>1</v>
      </c>
      <c r="R15" s="76">
        <f t="shared" ref="R15:W15" si="8">R14/$P$3</f>
        <v>1</v>
      </c>
      <c r="S15" s="76">
        <f t="shared" si="8"/>
        <v>0</v>
      </c>
      <c r="T15" s="76">
        <f t="shared" si="8"/>
        <v>1</v>
      </c>
      <c r="U15" s="76">
        <f t="shared" si="8"/>
        <v>1</v>
      </c>
      <c r="V15" s="76">
        <f t="shared" si="8"/>
        <v>0</v>
      </c>
      <c r="W15" s="76">
        <f t="shared" si="8"/>
        <v>0</v>
      </c>
      <c r="Y15" s="82" t="str">
        <f>ANALISES!E2</f>
        <v>Colon de Santa Fe</v>
      </c>
      <c r="Z15" s="82" t="str">
        <f>ANALISES!E3</f>
        <v>Aldosivi Mar del Plata</v>
      </c>
    </row>
    <row r="16" spans="1:40" ht="15.75" customHeight="1" thickBot="1" x14ac:dyDescent="0.3">
      <c r="A16" s="87" t="s">
        <v>68</v>
      </c>
      <c r="B16" s="87" t="s">
        <v>275</v>
      </c>
      <c r="C16" s="87" t="s">
        <v>276</v>
      </c>
      <c r="D16" s="87"/>
      <c r="E16" s="87" t="s">
        <v>67</v>
      </c>
      <c r="F16" s="87"/>
      <c r="G16" s="87" t="s">
        <v>14</v>
      </c>
      <c r="H16" s="87"/>
      <c r="I16" s="87" t="s">
        <v>275</v>
      </c>
      <c r="L16" s="153">
        <f>AVERAGEIF(B17:B37,L15,G17:G37)</f>
        <v>5.5555555555555554</v>
      </c>
      <c r="M16" s="155"/>
      <c r="N16" s="155">
        <f>AVERAGEIF(B17:B37,L15,H17:H37)</f>
        <v>4.666666666666667</v>
      </c>
      <c r="O16" s="154"/>
      <c r="Y16" s="82" t="s">
        <v>1</v>
      </c>
      <c r="Z16" s="82" t="s">
        <v>67</v>
      </c>
      <c r="AA16" s="82" t="s">
        <v>268</v>
      </c>
      <c r="AB16" s="82" t="s">
        <v>285</v>
      </c>
      <c r="AC16" s="82" t="s">
        <v>286</v>
      </c>
      <c r="AD16" s="82" t="s">
        <v>287</v>
      </c>
      <c r="AE16" s="82" t="s">
        <v>284</v>
      </c>
      <c r="AF16" s="82" t="s">
        <v>288</v>
      </c>
      <c r="AH16" s="82" t="s">
        <v>67</v>
      </c>
      <c r="AI16" s="82" t="s">
        <v>268</v>
      </c>
      <c r="AJ16" s="82" t="s">
        <v>285</v>
      </c>
      <c r="AK16" s="82" t="s">
        <v>286</v>
      </c>
      <c r="AL16" s="82" t="s">
        <v>287</v>
      </c>
      <c r="AM16" s="82" t="s">
        <v>284</v>
      </c>
      <c r="AN16" s="82" t="s">
        <v>288</v>
      </c>
    </row>
    <row r="17" spans="1:40" ht="15.75" customHeight="1" thickBot="1" x14ac:dyDescent="0.3">
      <c r="A17" s="89" t="s">
        <v>324</v>
      </c>
      <c r="B17" s="89" t="s">
        <v>1394</v>
      </c>
      <c r="C17" s="89">
        <v>3</v>
      </c>
      <c r="D17" s="89">
        <v>1</v>
      </c>
      <c r="E17" s="89">
        <v>2</v>
      </c>
      <c r="F17" s="89">
        <v>1</v>
      </c>
      <c r="G17" s="89">
        <v>5</v>
      </c>
      <c r="H17" s="89">
        <v>0</v>
      </c>
      <c r="I17" s="89" t="s">
        <v>170</v>
      </c>
      <c r="L17" s="140" t="s">
        <v>277</v>
      </c>
      <c r="M17" s="140"/>
      <c r="N17" s="140"/>
      <c r="O17" s="140"/>
      <c r="Y17" s="82">
        <f>COUNTIF(B17:B38,Y15)</f>
        <v>9</v>
      </c>
      <c r="Z17" s="82" t="str">
        <f t="shared" ref="Z17:Z36" si="9">IF(AND(B17=$Y$15,OR(E17&gt;0,F17&gt;0)),"SIM","NÃO")</f>
        <v>NÃO</v>
      </c>
      <c r="AA17" s="82" t="str">
        <f>IF(AND(B17=$Y$15,OR(C17&gt;0,D17&gt;0)),"SIM","NÃO")</f>
        <v>NÃO</v>
      </c>
      <c r="AB17" s="82" t="str">
        <f>IF(AND(B17=$Y$15,C17&gt;0,D17&gt;0),"SIM","NÃO")</f>
        <v>NÃO</v>
      </c>
      <c r="AC17" s="82" t="str">
        <f>IF(AND(B17=$Y$15,SUM(C17:D17)&gt;0.5),"SIM","NÃO")</f>
        <v>NÃO</v>
      </c>
      <c r="AD17" s="82" t="str">
        <f>IF(AND(B17=$Y$15,SUM(C17:D17)&gt;1.5),"SIM","NÃO")</f>
        <v>NÃO</v>
      </c>
      <c r="AE17" s="82" t="str">
        <f>IF(AND(B17=$Y$15,SUM(C17:D17)&gt;2.5),"SIM","NÃO")</f>
        <v>NÃO</v>
      </c>
      <c r="AF17" s="82" t="str">
        <f>IF(AND(B17=$Y$15,SUM(C17:D17)&gt;3.5),"SIM","NÃO")</f>
        <v>NÃO</v>
      </c>
      <c r="AH17" s="119">
        <f>Q15</f>
        <v>1</v>
      </c>
      <c r="AI17" s="119">
        <f>R15</f>
        <v>1</v>
      </c>
      <c r="AJ17" s="119">
        <f>S15</f>
        <v>0</v>
      </c>
      <c r="AK17" s="119">
        <f t="shared" ref="AK17:AN17" si="10">T15</f>
        <v>1</v>
      </c>
      <c r="AL17" s="119">
        <f t="shared" si="10"/>
        <v>1</v>
      </c>
      <c r="AM17" s="119">
        <f t="shared" si="10"/>
        <v>0</v>
      </c>
      <c r="AN17" s="119">
        <f t="shared" si="10"/>
        <v>0</v>
      </c>
    </row>
    <row r="18" spans="1:40" ht="15.75" customHeight="1" thickBot="1" x14ac:dyDescent="0.3">
      <c r="A18" s="89" t="s">
        <v>324</v>
      </c>
      <c r="B18" s="89" t="s">
        <v>170</v>
      </c>
      <c r="C18" s="89">
        <v>3</v>
      </c>
      <c r="D18" s="89">
        <v>2</v>
      </c>
      <c r="E18" s="89">
        <v>1</v>
      </c>
      <c r="F18" s="89">
        <v>2</v>
      </c>
      <c r="G18" s="89">
        <v>3</v>
      </c>
      <c r="H18" s="89">
        <v>2</v>
      </c>
      <c r="I18" s="89" t="s">
        <v>1411</v>
      </c>
      <c r="L18" s="156" t="str">
        <f>L15</f>
        <v>Colon de Santa Fe</v>
      </c>
      <c r="M18" s="157"/>
      <c r="N18" s="156" t="str">
        <f>N15</f>
        <v>Adversário</v>
      </c>
      <c r="O18" s="157"/>
      <c r="P18" s="76"/>
      <c r="Z18" s="82" t="str">
        <f t="shared" si="9"/>
        <v>SIM</v>
      </c>
      <c r="AA18" s="82" t="str">
        <f t="shared" ref="AA18:AA36" si="11">IF(AND(B18=$Y$15,OR(C18&gt;0,D18&gt;0)),"SIM","NÃO")</f>
        <v>SIM</v>
      </c>
      <c r="AB18" s="82" t="str">
        <f t="shared" ref="AB18:AB36" si="12">IF(AND(B18=$Y$15,C18&gt;0,D18&gt;0),"SIM","NÃO")</f>
        <v>SIM</v>
      </c>
      <c r="AC18" s="82" t="str">
        <f t="shared" ref="AC18:AC36" si="13">IF(AND(B18=$Y$15,SUM(C18:D18)&gt;0.5),"SIM","NÃO")</f>
        <v>SIM</v>
      </c>
      <c r="AD18" s="82" t="str">
        <f t="shared" ref="AD18:AD36" si="14">IF(AND(B18=$Y$15,SUM(C18:D18)&gt;1.5),"SIM","NÃO")</f>
        <v>SIM</v>
      </c>
      <c r="AE18" s="82" t="str">
        <f t="shared" ref="AE18:AE36" si="15">IF(AND(B18=$Y$15,SUM(C18:D18)&gt;2.5),"SIM","NÃO")</f>
        <v>SIM</v>
      </c>
      <c r="AF18" s="82" t="str">
        <f t="shared" ref="AF18:AF36" si="16">IF(AND(B18=$Y$15,SUM(C18:D18)&gt;3.5),"SIM","NÃO")</f>
        <v>SIM</v>
      </c>
      <c r="AH18" s="119">
        <f>Z38</f>
        <v>0.88888888888888884</v>
      </c>
      <c r="AI18" s="119">
        <f>AA38</f>
        <v>1</v>
      </c>
      <c r="AJ18" s="119">
        <f t="shared" ref="AJ18:AN18" si="17">AB38</f>
        <v>0.66666666666666663</v>
      </c>
      <c r="AK18" s="119">
        <f t="shared" si="17"/>
        <v>1</v>
      </c>
      <c r="AL18" s="119">
        <f t="shared" si="17"/>
        <v>0.88888888888888884</v>
      </c>
      <c r="AM18" s="119">
        <f t="shared" si="17"/>
        <v>0.66666666666666663</v>
      </c>
      <c r="AN18" s="119">
        <f t="shared" si="17"/>
        <v>0.22222222222222221</v>
      </c>
    </row>
    <row r="19" spans="1:40" ht="15.75" customHeight="1" thickBot="1" x14ac:dyDescent="0.3">
      <c r="A19" s="89" t="s">
        <v>1395</v>
      </c>
      <c r="B19" s="89" t="s">
        <v>1396</v>
      </c>
      <c r="C19" s="89">
        <v>1</v>
      </c>
      <c r="D19" s="89">
        <v>3</v>
      </c>
      <c r="E19" s="89">
        <v>0</v>
      </c>
      <c r="F19" s="89">
        <v>2</v>
      </c>
      <c r="G19" s="89">
        <v>8</v>
      </c>
      <c r="H19" s="89">
        <v>2</v>
      </c>
      <c r="I19" s="89" t="s">
        <v>1397</v>
      </c>
      <c r="L19" s="153">
        <f>AVERAGEIF(B17:B37,L15,E17:E37)</f>
        <v>0.77777777777777779</v>
      </c>
      <c r="M19" s="154"/>
      <c r="N19" s="153">
        <f>AVERAGEIF(B17:B37,L15,F17:F37)</f>
        <v>0.66666666666666663</v>
      </c>
      <c r="O19" s="154"/>
      <c r="P19" s="76"/>
      <c r="Z19" s="82" t="str">
        <f t="shared" si="9"/>
        <v>NÃO</v>
      </c>
      <c r="AA19" s="82" t="str">
        <f t="shared" si="11"/>
        <v>NÃO</v>
      </c>
      <c r="AB19" s="82" t="str">
        <f t="shared" si="12"/>
        <v>NÃO</v>
      </c>
      <c r="AC19" s="82" t="str">
        <f t="shared" si="13"/>
        <v>NÃO</v>
      </c>
      <c r="AD19" s="82" t="str">
        <f t="shared" si="14"/>
        <v>NÃO</v>
      </c>
      <c r="AE19" s="82" t="str">
        <f t="shared" si="15"/>
        <v>NÃO</v>
      </c>
      <c r="AF19" s="82" t="str">
        <f t="shared" si="16"/>
        <v>NÃO</v>
      </c>
      <c r="AH19" s="119">
        <f>AH62</f>
        <v>1</v>
      </c>
      <c r="AI19" s="119">
        <f>AI62</f>
        <v>1</v>
      </c>
      <c r="AJ19" s="119">
        <f t="shared" ref="AJ19:AN19" si="18">AJ62</f>
        <v>0.33333333333333331</v>
      </c>
      <c r="AK19" s="119">
        <f t="shared" si="18"/>
        <v>1</v>
      </c>
      <c r="AL19" s="119">
        <f t="shared" si="18"/>
        <v>0.88888888888888884</v>
      </c>
      <c r="AM19" s="119">
        <f t="shared" si="18"/>
        <v>0.44444444444444442</v>
      </c>
      <c r="AN19" s="119">
        <f t="shared" si="18"/>
        <v>0.33333333333333331</v>
      </c>
    </row>
    <row r="20" spans="1:40" ht="15.75" customHeight="1" thickBot="1" x14ac:dyDescent="0.3">
      <c r="A20" s="89" t="s">
        <v>324</v>
      </c>
      <c r="B20" s="89" t="s">
        <v>170</v>
      </c>
      <c r="C20" s="89">
        <v>0</v>
      </c>
      <c r="D20" s="89">
        <v>2</v>
      </c>
      <c r="E20" s="89">
        <v>0</v>
      </c>
      <c r="F20" s="89">
        <v>1</v>
      </c>
      <c r="G20" s="89">
        <v>4</v>
      </c>
      <c r="H20" s="89">
        <v>4</v>
      </c>
      <c r="I20" s="89" t="s">
        <v>359</v>
      </c>
      <c r="L20" s="140" t="s">
        <v>279</v>
      </c>
      <c r="M20" s="140"/>
      <c r="N20" s="140"/>
      <c r="O20" s="140"/>
      <c r="Z20" s="82" t="str">
        <f t="shared" si="9"/>
        <v>SIM</v>
      </c>
      <c r="AA20" s="82" t="str">
        <f t="shared" si="11"/>
        <v>SIM</v>
      </c>
      <c r="AB20" s="82" t="str">
        <f t="shared" si="12"/>
        <v>NÃO</v>
      </c>
      <c r="AC20" s="82" t="str">
        <f t="shared" si="13"/>
        <v>SIM</v>
      </c>
      <c r="AD20" s="82" t="str">
        <f t="shared" si="14"/>
        <v>SIM</v>
      </c>
      <c r="AE20" s="82" t="str">
        <f t="shared" si="15"/>
        <v>NÃO</v>
      </c>
      <c r="AF20" s="82" t="str">
        <f t="shared" si="16"/>
        <v>NÃO</v>
      </c>
    </row>
    <row r="21" spans="1:40" ht="15.75" customHeight="1" thickBot="1" x14ac:dyDescent="0.3">
      <c r="A21" s="89" t="s">
        <v>324</v>
      </c>
      <c r="B21" s="89" t="s">
        <v>1398</v>
      </c>
      <c r="C21" s="89">
        <v>2</v>
      </c>
      <c r="D21" s="89">
        <v>1</v>
      </c>
      <c r="E21" s="89">
        <v>0</v>
      </c>
      <c r="F21" s="89">
        <v>0</v>
      </c>
      <c r="G21" s="89">
        <v>3</v>
      </c>
      <c r="H21" s="89">
        <v>2</v>
      </c>
      <c r="I21" s="89" t="s">
        <v>170</v>
      </c>
      <c r="L21" s="153">
        <f>SUM(L19:O19)</f>
        <v>1.4444444444444444</v>
      </c>
      <c r="M21" s="155"/>
      <c r="N21" s="155"/>
      <c r="O21" s="154"/>
      <c r="Z21" s="82" t="str">
        <f t="shared" si="9"/>
        <v>NÃO</v>
      </c>
      <c r="AA21" s="82" t="str">
        <f t="shared" si="11"/>
        <v>NÃO</v>
      </c>
      <c r="AB21" s="82" t="str">
        <f t="shared" si="12"/>
        <v>NÃO</v>
      </c>
      <c r="AC21" s="82" t="str">
        <f t="shared" si="13"/>
        <v>NÃO</v>
      </c>
      <c r="AD21" s="82" t="str">
        <f t="shared" si="14"/>
        <v>NÃO</v>
      </c>
      <c r="AE21" s="82" t="str">
        <f t="shared" si="15"/>
        <v>NÃO</v>
      </c>
      <c r="AF21" s="82" t="str">
        <f t="shared" si="16"/>
        <v>NÃO</v>
      </c>
      <c r="AH21" s="119">
        <f>AVERAGE(AH17:AH19)</f>
        <v>0.96296296296296291</v>
      </c>
      <c r="AI21" s="119">
        <f t="shared" ref="AI21:AN21" si="19">AVERAGE(AI17:AI19)</f>
        <v>1</v>
      </c>
      <c r="AJ21" s="119">
        <f t="shared" si="19"/>
        <v>0.33333333333333331</v>
      </c>
      <c r="AK21" s="119">
        <f t="shared" si="19"/>
        <v>1</v>
      </c>
      <c r="AL21" s="119">
        <f t="shared" si="19"/>
        <v>0.92592592592592593</v>
      </c>
      <c r="AM21" s="119">
        <f t="shared" si="19"/>
        <v>0.37037037037037041</v>
      </c>
      <c r="AN21" s="119">
        <f t="shared" si="19"/>
        <v>0.1851851851851852</v>
      </c>
    </row>
    <row r="22" spans="1:40" ht="15.75" customHeight="1" thickBot="1" x14ac:dyDescent="0.3">
      <c r="A22" s="89" t="s">
        <v>324</v>
      </c>
      <c r="B22" s="89" t="s">
        <v>170</v>
      </c>
      <c r="C22" s="89">
        <v>2</v>
      </c>
      <c r="D22" s="89">
        <v>1</v>
      </c>
      <c r="E22" s="89">
        <v>2</v>
      </c>
      <c r="F22" s="89">
        <v>1</v>
      </c>
      <c r="G22" s="89">
        <v>5</v>
      </c>
      <c r="H22" s="89">
        <v>6</v>
      </c>
      <c r="I22" s="89" t="s">
        <v>1399</v>
      </c>
      <c r="L22" s="140" t="s">
        <v>273</v>
      </c>
      <c r="M22" s="140"/>
      <c r="N22" s="140"/>
      <c r="O22" s="140"/>
      <c r="Z22" s="82" t="str">
        <f t="shared" si="9"/>
        <v>SIM</v>
      </c>
      <c r="AA22" s="82" t="str">
        <f t="shared" si="11"/>
        <v>SIM</v>
      </c>
      <c r="AB22" s="82" t="str">
        <f t="shared" si="12"/>
        <v>SIM</v>
      </c>
      <c r="AC22" s="82" t="str">
        <f t="shared" si="13"/>
        <v>SIM</v>
      </c>
      <c r="AD22" s="82" t="str">
        <f t="shared" si="14"/>
        <v>SIM</v>
      </c>
      <c r="AE22" s="82" t="str">
        <f t="shared" si="15"/>
        <v>SIM</v>
      </c>
      <c r="AF22" s="82" t="str">
        <f t="shared" si="16"/>
        <v>NÃO</v>
      </c>
    </row>
    <row r="23" spans="1:40" ht="15.75" customHeight="1" thickBot="1" x14ac:dyDescent="0.3">
      <c r="A23" s="89" t="s">
        <v>1400</v>
      </c>
      <c r="B23" s="89" t="s">
        <v>1396</v>
      </c>
      <c r="C23" s="89">
        <v>2</v>
      </c>
      <c r="D23" s="89">
        <v>2</v>
      </c>
      <c r="E23" s="89">
        <v>2</v>
      </c>
      <c r="F23" s="89">
        <v>1</v>
      </c>
      <c r="G23" s="89">
        <v>7</v>
      </c>
      <c r="H23" s="89">
        <v>4</v>
      </c>
      <c r="I23" s="89" t="s">
        <v>320</v>
      </c>
      <c r="L23" s="156" t="str">
        <f>L15</f>
        <v>Colon de Santa Fe</v>
      </c>
      <c r="M23" s="157"/>
      <c r="N23" s="156" t="str">
        <f>N15</f>
        <v>Adversário</v>
      </c>
      <c r="O23" s="157"/>
      <c r="Z23" s="82" t="str">
        <f t="shared" si="9"/>
        <v>NÃO</v>
      </c>
      <c r="AA23" s="82" t="str">
        <f t="shared" si="11"/>
        <v>NÃO</v>
      </c>
      <c r="AB23" s="82" t="str">
        <f t="shared" si="12"/>
        <v>NÃO</v>
      </c>
      <c r="AC23" s="82" t="str">
        <f t="shared" si="13"/>
        <v>NÃO</v>
      </c>
      <c r="AD23" s="82" t="str">
        <f t="shared" si="14"/>
        <v>NÃO</v>
      </c>
      <c r="AE23" s="82" t="str">
        <f t="shared" si="15"/>
        <v>NÃO</v>
      </c>
      <c r="AF23" s="82" t="str">
        <f t="shared" si="16"/>
        <v>NÃO</v>
      </c>
    </row>
    <row r="24" spans="1:40" ht="15.75" customHeight="1" thickBot="1" x14ac:dyDescent="0.3">
      <c r="A24" s="89" t="s">
        <v>324</v>
      </c>
      <c r="B24" s="89" t="s">
        <v>1401</v>
      </c>
      <c r="C24" s="89">
        <v>1</v>
      </c>
      <c r="D24" s="89">
        <v>0</v>
      </c>
      <c r="E24" s="89">
        <v>0</v>
      </c>
      <c r="F24" s="89">
        <v>0</v>
      </c>
      <c r="G24" s="89">
        <v>4</v>
      </c>
      <c r="H24" s="89">
        <v>1</v>
      </c>
      <c r="I24" s="89" t="s">
        <v>170</v>
      </c>
      <c r="L24" s="153">
        <f>AVERAGEIF(B17:B37,L15,C17:C37)</f>
        <v>1.8888888888888888</v>
      </c>
      <c r="M24" s="154"/>
      <c r="N24" s="153">
        <f>AVERAGEIF(B17:B37,L15,D17:D37)</f>
        <v>1</v>
      </c>
      <c r="O24" s="154"/>
      <c r="Z24" s="82" t="str">
        <f t="shared" si="9"/>
        <v>NÃO</v>
      </c>
      <c r="AA24" s="82" t="str">
        <f t="shared" si="11"/>
        <v>NÃO</v>
      </c>
      <c r="AB24" s="82" t="str">
        <f t="shared" si="12"/>
        <v>NÃO</v>
      </c>
      <c r="AC24" s="82" t="str">
        <f t="shared" si="13"/>
        <v>NÃO</v>
      </c>
      <c r="AD24" s="82" t="str">
        <f t="shared" si="14"/>
        <v>NÃO</v>
      </c>
      <c r="AE24" s="82" t="str">
        <f t="shared" si="15"/>
        <v>NÃO</v>
      </c>
      <c r="AF24" s="82" t="str">
        <f t="shared" si="16"/>
        <v>NÃO</v>
      </c>
    </row>
    <row r="25" spans="1:40" ht="15.75" customHeight="1" thickBot="1" x14ac:dyDescent="0.3">
      <c r="A25" s="89" t="s">
        <v>324</v>
      </c>
      <c r="B25" s="89" t="s">
        <v>170</v>
      </c>
      <c r="C25" s="89">
        <v>1</v>
      </c>
      <c r="D25" s="89">
        <v>0</v>
      </c>
      <c r="E25" s="89">
        <v>1</v>
      </c>
      <c r="F25" s="89">
        <v>0</v>
      </c>
      <c r="G25" s="89">
        <v>6</v>
      </c>
      <c r="H25" s="89">
        <v>6</v>
      </c>
      <c r="I25" s="89" t="s">
        <v>171</v>
      </c>
      <c r="L25" s="140" t="s">
        <v>278</v>
      </c>
      <c r="M25" s="140"/>
      <c r="N25" s="140"/>
      <c r="O25" s="140"/>
      <c r="Z25" s="82" t="str">
        <f t="shared" si="9"/>
        <v>SIM</v>
      </c>
      <c r="AA25" s="82" t="str">
        <f t="shared" si="11"/>
        <v>SIM</v>
      </c>
      <c r="AB25" s="82" t="str">
        <f t="shared" si="12"/>
        <v>NÃO</v>
      </c>
      <c r="AC25" s="82" t="str">
        <f t="shared" si="13"/>
        <v>SIM</v>
      </c>
      <c r="AD25" s="82" t="str">
        <f t="shared" si="14"/>
        <v>NÃO</v>
      </c>
      <c r="AE25" s="82" t="str">
        <f t="shared" si="15"/>
        <v>NÃO</v>
      </c>
      <c r="AF25" s="82" t="str">
        <f t="shared" si="16"/>
        <v>NÃO</v>
      </c>
    </row>
    <row r="26" spans="1:40" ht="15.75" customHeight="1" thickBot="1" x14ac:dyDescent="0.3">
      <c r="A26" s="89" t="s">
        <v>1395</v>
      </c>
      <c r="B26" s="89" t="s">
        <v>1402</v>
      </c>
      <c r="C26" s="89">
        <v>2</v>
      </c>
      <c r="D26" s="89">
        <v>1</v>
      </c>
      <c r="E26" s="89">
        <v>1</v>
      </c>
      <c r="F26" s="89">
        <v>0</v>
      </c>
      <c r="G26" s="89">
        <v>5</v>
      </c>
      <c r="H26" s="89">
        <v>4</v>
      </c>
      <c r="I26" s="89" t="s">
        <v>170</v>
      </c>
      <c r="L26" s="153">
        <f>SUM(L24,N24)</f>
        <v>2.8888888888888888</v>
      </c>
      <c r="M26" s="155"/>
      <c r="N26" s="155"/>
      <c r="O26" s="154"/>
      <c r="Z26" s="82" t="str">
        <f t="shared" si="9"/>
        <v>NÃO</v>
      </c>
      <c r="AA26" s="82" t="str">
        <f t="shared" si="11"/>
        <v>NÃO</v>
      </c>
      <c r="AB26" s="82" t="str">
        <f t="shared" si="12"/>
        <v>NÃO</v>
      </c>
      <c r="AC26" s="82" t="str">
        <f t="shared" si="13"/>
        <v>NÃO</v>
      </c>
      <c r="AD26" s="82" t="str">
        <f t="shared" si="14"/>
        <v>NÃO</v>
      </c>
      <c r="AE26" s="82" t="str">
        <f t="shared" si="15"/>
        <v>NÃO</v>
      </c>
      <c r="AF26" s="82" t="str">
        <f t="shared" si="16"/>
        <v>NÃO</v>
      </c>
    </row>
    <row r="27" spans="1:40" ht="15.75" customHeight="1" thickBot="1" x14ac:dyDescent="0.3">
      <c r="A27" s="89" t="s">
        <v>324</v>
      </c>
      <c r="B27" s="89" t="s">
        <v>393</v>
      </c>
      <c r="C27" s="89">
        <v>3</v>
      </c>
      <c r="D27" s="89">
        <v>2</v>
      </c>
      <c r="E27" s="89">
        <v>3</v>
      </c>
      <c r="F27" s="89">
        <v>0</v>
      </c>
      <c r="G27" s="89">
        <v>6</v>
      </c>
      <c r="H27" s="89">
        <v>4</v>
      </c>
      <c r="I27" s="89" t="s">
        <v>170</v>
      </c>
      <c r="L27" s="140" t="s">
        <v>14</v>
      </c>
      <c r="M27" s="140"/>
      <c r="N27" s="140"/>
      <c r="O27" s="140"/>
      <c r="Z27" s="82" t="str">
        <f t="shared" si="9"/>
        <v>NÃO</v>
      </c>
      <c r="AA27" s="82" t="str">
        <f t="shared" si="11"/>
        <v>NÃO</v>
      </c>
      <c r="AB27" s="82" t="str">
        <f t="shared" si="12"/>
        <v>NÃO</v>
      </c>
      <c r="AC27" s="82" t="str">
        <f t="shared" si="13"/>
        <v>NÃO</v>
      </c>
      <c r="AD27" s="82" t="str">
        <f t="shared" si="14"/>
        <v>NÃO</v>
      </c>
      <c r="AE27" s="82" t="str">
        <f t="shared" si="15"/>
        <v>NÃO</v>
      </c>
      <c r="AF27" s="82" t="str">
        <f t="shared" si="16"/>
        <v>NÃO</v>
      </c>
    </row>
    <row r="28" spans="1:40" ht="15.75" customHeight="1" thickBot="1" x14ac:dyDescent="0.3">
      <c r="A28" s="89" t="s">
        <v>1395</v>
      </c>
      <c r="B28" s="89" t="s">
        <v>170</v>
      </c>
      <c r="C28" s="89">
        <v>2</v>
      </c>
      <c r="D28" s="89">
        <v>1</v>
      </c>
      <c r="E28" s="89">
        <v>0</v>
      </c>
      <c r="F28" s="89">
        <v>1</v>
      </c>
      <c r="G28" s="89">
        <v>10</v>
      </c>
      <c r="H28" s="89">
        <v>3</v>
      </c>
      <c r="I28" s="89" t="s">
        <v>1402</v>
      </c>
      <c r="L28" s="156" t="s">
        <v>308</v>
      </c>
      <c r="M28" s="157"/>
      <c r="N28" s="156" t="str">
        <f>ANALISES!E3</f>
        <v>Aldosivi Mar del Plata</v>
      </c>
      <c r="O28" s="157"/>
      <c r="Z28" s="82" t="str">
        <f t="shared" si="9"/>
        <v>SIM</v>
      </c>
      <c r="AA28" s="82" t="str">
        <f t="shared" si="11"/>
        <v>SIM</v>
      </c>
      <c r="AB28" s="82" t="str">
        <f t="shared" si="12"/>
        <v>SIM</v>
      </c>
      <c r="AC28" s="82" t="str">
        <f t="shared" si="13"/>
        <v>SIM</v>
      </c>
      <c r="AD28" s="82" t="str">
        <f t="shared" si="14"/>
        <v>SIM</v>
      </c>
      <c r="AE28" s="82" t="str">
        <f t="shared" si="15"/>
        <v>SIM</v>
      </c>
      <c r="AF28" s="82" t="str">
        <f t="shared" si="16"/>
        <v>NÃO</v>
      </c>
    </row>
    <row r="29" spans="1:40" ht="15.75" customHeight="1" thickBot="1" x14ac:dyDescent="0.3">
      <c r="A29" s="89" t="s">
        <v>324</v>
      </c>
      <c r="B29" s="89" t="s">
        <v>170</v>
      </c>
      <c r="C29" s="89">
        <v>2</v>
      </c>
      <c r="D29" s="89">
        <v>1</v>
      </c>
      <c r="E29" s="89">
        <v>1</v>
      </c>
      <c r="F29" s="89">
        <v>0</v>
      </c>
      <c r="G29" s="89">
        <v>2</v>
      </c>
      <c r="H29" s="89">
        <v>6</v>
      </c>
      <c r="I29" s="89" t="s">
        <v>392</v>
      </c>
      <c r="K29" s="59"/>
      <c r="L29" s="153">
        <f>AVERAGEIF(I41:I61,N28,G41:G61)</f>
        <v>4.8888888888888893</v>
      </c>
      <c r="M29" s="155"/>
      <c r="N29" s="155">
        <f>AVERAGEIF(I41:I61,N28,H41:H61)</f>
        <v>4</v>
      </c>
      <c r="O29" s="154"/>
      <c r="Z29" s="82" t="str">
        <f t="shared" si="9"/>
        <v>SIM</v>
      </c>
      <c r="AA29" s="82" t="str">
        <f t="shared" si="11"/>
        <v>SIM</v>
      </c>
      <c r="AB29" s="82" t="str">
        <f t="shared" si="12"/>
        <v>SIM</v>
      </c>
      <c r="AC29" s="82" t="str">
        <f t="shared" si="13"/>
        <v>SIM</v>
      </c>
      <c r="AD29" s="82" t="str">
        <f t="shared" si="14"/>
        <v>SIM</v>
      </c>
      <c r="AE29" s="82" t="str">
        <f t="shared" si="15"/>
        <v>SIM</v>
      </c>
      <c r="AF29" s="82" t="str">
        <f t="shared" si="16"/>
        <v>NÃO</v>
      </c>
    </row>
    <row r="30" spans="1:40" ht="15.75" customHeight="1" thickBot="1" x14ac:dyDescent="0.3">
      <c r="A30" s="89" t="s">
        <v>1400</v>
      </c>
      <c r="B30" s="89" t="s">
        <v>1396</v>
      </c>
      <c r="C30" s="89">
        <v>1</v>
      </c>
      <c r="D30" s="89">
        <v>1</v>
      </c>
      <c r="E30" s="89">
        <v>0</v>
      </c>
      <c r="F30" s="89">
        <v>0</v>
      </c>
      <c r="G30" s="89">
        <v>4</v>
      </c>
      <c r="H30" s="89">
        <v>4</v>
      </c>
      <c r="I30" s="89" t="s">
        <v>359</v>
      </c>
      <c r="K30" s="59"/>
      <c r="L30" s="140" t="s">
        <v>277</v>
      </c>
      <c r="M30" s="140"/>
      <c r="N30" s="140"/>
      <c r="O30" s="140"/>
      <c r="Z30" s="82" t="str">
        <f t="shared" si="9"/>
        <v>NÃO</v>
      </c>
      <c r="AA30" s="82" t="str">
        <f t="shared" si="11"/>
        <v>NÃO</v>
      </c>
      <c r="AB30" s="82" t="str">
        <f t="shared" si="12"/>
        <v>NÃO</v>
      </c>
      <c r="AC30" s="82" t="str">
        <f t="shared" si="13"/>
        <v>NÃO</v>
      </c>
      <c r="AD30" s="82" t="str">
        <f t="shared" si="14"/>
        <v>NÃO</v>
      </c>
      <c r="AE30" s="82" t="str">
        <f t="shared" si="15"/>
        <v>NÃO</v>
      </c>
      <c r="AF30" s="82" t="str">
        <f t="shared" si="16"/>
        <v>NÃO</v>
      </c>
    </row>
    <row r="31" spans="1:40" ht="15.75" customHeight="1" thickBot="1" x14ac:dyDescent="0.3">
      <c r="A31" s="89" t="s">
        <v>324</v>
      </c>
      <c r="B31" s="89" t="s">
        <v>170</v>
      </c>
      <c r="C31" s="89">
        <v>1</v>
      </c>
      <c r="D31" s="89">
        <v>1</v>
      </c>
      <c r="E31" s="89">
        <v>1</v>
      </c>
      <c r="F31" s="89">
        <v>1</v>
      </c>
      <c r="G31" s="89">
        <v>7</v>
      </c>
      <c r="H31" s="89">
        <v>8</v>
      </c>
      <c r="I31" s="89" t="s">
        <v>1403</v>
      </c>
      <c r="K31" s="76"/>
      <c r="L31" s="156" t="str">
        <f>L28</f>
        <v>Adversário</v>
      </c>
      <c r="M31" s="157"/>
      <c r="N31" s="156" t="str">
        <f>N28</f>
        <v>Aldosivi Mar del Plata</v>
      </c>
      <c r="O31" s="157"/>
      <c r="Z31" s="82" t="str">
        <f t="shared" si="9"/>
        <v>SIM</v>
      </c>
      <c r="AA31" s="82" t="str">
        <f t="shared" si="11"/>
        <v>SIM</v>
      </c>
      <c r="AB31" s="82" t="str">
        <f t="shared" si="12"/>
        <v>SIM</v>
      </c>
      <c r="AC31" s="82" t="str">
        <f t="shared" si="13"/>
        <v>SIM</v>
      </c>
      <c r="AD31" s="82" t="str">
        <f t="shared" si="14"/>
        <v>SIM</v>
      </c>
      <c r="AE31" s="82" t="str">
        <f t="shared" si="15"/>
        <v>NÃO</v>
      </c>
      <c r="AF31" s="82" t="str">
        <f t="shared" si="16"/>
        <v>NÃO</v>
      </c>
    </row>
    <row r="32" spans="1:40" ht="15.75" customHeight="1" thickBot="1" x14ac:dyDescent="0.3">
      <c r="A32" s="89" t="s">
        <v>1400</v>
      </c>
      <c r="B32" s="89" t="s">
        <v>1404</v>
      </c>
      <c r="C32" s="89">
        <v>0</v>
      </c>
      <c r="D32" s="89">
        <v>4</v>
      </c>
      <c r="E32" s="89">
        <v>0</v>
      </c>
      <c r="F32" s="89">
        <v>3</v>
      </c>
      <c r="G32" s="89">
        <v>2</v>
      </c>
      <c r="H32" s="89">
        <v>5</v>
      </c>
      <c r="I32" s="89" t="s">
        <v>170</v>
      </c>
      <c r="L32" s="153">
        <f>AVERAGEIF(I41:I61,N28,E41:E61)</f>
        <v>1.1111111111111112</v>
      </c>
      <c r="M32" s="154"/>
      <c r="N32" s="153">
        <f>AVERAGEIF(I41:I61,N28,F41:F61)</f>
        <v>0.55555555555555558</v>
      </c>
      <c r="O32" s="154"/>
      <c r="Z32" s="82" t="str">
        <f t="shared" si="9"/>
        <v>NÃO</v>
      </c>
      <c r="AA32" s="82" t="str">
        <f t="shared" si="11"/>
        <v>NÃO</v>
      </c>
      <c r="AB32" s="82" t="str">
        <f t="shared" si="12"/>
        <v>NÃO</v>
      </c>
      <c r="AC32" s="82" t="str">
        <f t="shared" si="13"/>
        <v>NÃO</v>
      </c>
      <c r="AD32" s="82" t="str">
        <f t="shared" si="14"/>
        <v>NÃO</v>
      </c>
      <c r="AE32" s="82" t="str">
        <f t="shared" si="15"/>
        <v>NÃO</v>
      </c>
      <c r="AF32" s="82" t="str">
        <f t="shared" si="16"/>
        <v>NÃO</v>
      </c>
    </row>
    <row r="33" spans="1:40" ht="15.75" customHeight="1" thickBot="1" x14ac:dyDescent="0.3">
      <c r="A33" s="89" t="s">
        <v>324</v>
      </c>
      <c r="B33" s="89" t="s">
        <v>584</v>
      </c>
      <c r="C33" s="89">
        <v>2</v>
      </c>
      <c r="D33" s="89">
        <v>0</v>
      </c>
      <c r="E33" s="89">
        <v>1</v>
      </c>
      <c r="F33" s="89">
        <v>0</v>
      </c>
      <c r="G33" s="89">
        <v>10</v>
      </c>
      <c r="H33" s="89">
        <v>3</v>
      </c>
      <c r="I33" s="89" t="s">
        <v>170</v>
      </c>
      <c r="L33" s="140" t="s">
        <v>279</v>
      </c>
      <c r="M33" s="140"/>
      <c r="N33" s="140"/>
      <c r="O33" s="140"/>
      <c r="Z33" s="82" t="str">
        <f t="shared" si="9"/>
        <v>NÃO</v>
      </c>
      <c r="AA33" s="82" t="str">
        <f t="shared" si="11"/>
        <v>NÃO</v>
      </c>
      <c r="AB33" s="82" t="str">
        <f t="shared" si="12"/>
        <v>NÃO</v>
      </c>
      <c r="AC33" s="82" t="str">
        <f t="shared" si="13"/>
        <v>NÃO</v>
      </c>
      <c r="AD33" s="82" t="str">
        <f t="shared" si="14"/>
        <v>NÃO</v>
      </c>
      <c r="AE33" s="82" t="str">
        <f t="shared" si="15"/>
        <v>NÃO</v>
      </c>
      <c r="AF33" s="82" t="str">
        <f t="shared" si="16"/>
        <v>NÃO</v>
      </c>
    </row>
    <row r="34" spans="1:40" ht="15.75" customHeight="1" thickBot="1" x14ac:dyDescent="0.3">
      <c r="A34" s="89" t="s">
        <v>324</v>
      </c>
      <c r="B34" s="89" t="s">
        <v>170</v>
      </c>
      <c r="C34" s="89">
        <v>2</v>
      </c>
      <c r="D34" s="89">
        <v>1</v>
      </c>
      <c r="E34" s="89">
        <v>1</v>
      </c>
      <c r="F34" s="89">
        <v>0</v>
      </c>
      <c r="G34" s="89">
        <v>8</v>
      </c>
      <c r="H34" s="89">
        <v>3</v>
      </c>
      <c r="I34" s="89" t="s">
        <v>1405</v>
      </c>
      <c r="L34" s="153">
        <f>SUM(L32:O32)</f>
        <v>1.6666666666666667</v>
      </c>
      <c r="M34" s="155"/>
      <c r="N34" s="155"/>
      <c r="O34" s="154"/>
      <c r="Z34" s="82" t="str">
        <f t="shared" si="9"/>
        <v>SIM</v>
      </c>
      <c r="AA34" s="82" t="str">
        <f t="shared" si="11"/>
        <v>SIM</v>
      </c>
      <c r="AB34" s="82" t="str">
        <f t="shared" si="12"/>
        <v>SIM</v>
      </c>
      <c r="AC34" s="82" t="str">
        <f t="shared" si="13"/>
        <v>SIM</v>
      </c>
      <c r="AD34" s="82" t="str">
        <f t="shared" si="14"/>
        <v>SIM</v>
      </c>
      <c r="AE34" s="82" t="str">
        <f t="shared" si="15"/>
        <v>SIM</v>
      </c>
      <c r="AF34" s="82" t="str">
        <f t="shared" si="16"/>
        <v>NÃO</v>
      </c>
    </row>
    <row r="35" spans="1:40" ht="15.75" customHeight="1" thickBot="1" x14ac:dyDescent="0.3">
      <c r="A35" s="89" t="s">
        <v>1395</v>
      </c>
      <c r="B35" s="89" t="s">
        <v>170</v>
      </c>
      <c r="C35" s="89">
        <v>4</v>
      </c>
      <c r="D35" s="89">
        <v>0</v>
      </c>
      <c r="E35" s="89">
        <v>0</v>
      </c>
      <c r="F35" s="89">
        <v>0</v>
      </c>
      <c r="G35" s="89">
        <v>5</v>
      </c>
      <c r="H35" s="89">
        <v>4</v>
      </c>
      <c r="I35" s="89" t="s">
        <v>1406</v>
      </c>
      <c r="L35" s="140" t="s">
        <v>273</v>
      </c>
      <c r="M35" s="140"/>
      <c r="N35" s="140"/>
      <c r="O35" s="140"/>
      <c r="Z35" s="82" t="str">
        <f t="shared" si="9"/>
        <v>NÃO</v>
      </c>
      <c r="AA35" s="82" t="str">
        <f t="shared" si="11"/>
        <v>SIM</v>
      </c>
      <c r="AB35" s="82" t="str">
        <f t="shared" si="12"/>
        <v>NÃO</v>
      </c>
      <c r="AC35" s="82" t="str">
        <f t="shared" si="13"/>
        <v>SIM</v>
      </c>
      <c r="AD35" s="82" t="str">
        <f t="shared" si="14"/>
        <v>SIM</v>
      </c>
      <c r="AE35" s="82" t="str">
        <f t="shared" si="15"/>
        <v>SIM</v>
      </c>
      <c r="AF35" s="82" t="str">
        <f t="shared" si="16"/>
        <v>SIM</v>
      </c>
    </row>
    <row r="36" spans="1:40" ht="15.75" customHeight="1" thickBot="1" x14ac:dyDescent="0.3">
      <c r="A36" s="89" t="s">
        <v>1395</v>
      </c>
      <c r="B36" s="89" t="s">
        <v>123</v>
      </c>
      <c r="C36" s="89">
        <v>1</v>
      </c>
      <c r="D36" s="89">
        <v>0</v>
      </c>
      <c r="E36" s="89">
        <v>0</v>
      </c>
      <c r="F36" s="89">
        <v>0</v>
      </c>
      <c r="G36" s="89">
        <v>8</v>
      </c>
      <c r="H36" s="89">
        <v>4</v>
      </c>
      <c r="I36" s="89" t="s">
        <v>170</v>
      </c>
      <c r="L36" s="156" t="str">
        <f>L28</f>
        <v>Adversário</v>
      </c>
      <c r="M36" s="157"/>
      <c r="N36" s="156" t="str">
        <f>N28</f>
        <v>Aldosivi Mar del Plata</v>
      </c>
      <c r="O36" s="157"/>
      <c r="Z36" s="82" t="str">
        <f t="shared" si="9"/>
        <v>NÃO</v>
      </c>
      <c r="AA36" s="82" t="str">
        <f t="shared" si="11"/>
        <v>NÃO</v>
      </c>
      <c r="AB36" s="82" t="str">
        <f t="shared" si="12"/>
        <v>NÃO</v>
      </c>
      <c r="AC36" s="82" t="str">
        <f t="shared" si="13"/>
        <v>NÃO</v>
      </c>
      <c r="AD36" s="82" t="str">
        <f t="shared" si="14"/>
        <v>NÃO</v>
      </c>
      <c r="AE36" s="82" t="str">
        <f t="shared" si="15"/>
        <v>NÃO</v>
      </c>
      <c r="AF36" s="82" t="str">
        <f t="shared" si="16"/>
        <v>NÃO</v>
      </c>
    </row>
    <row r="37" spans="1:40" ht="15.75" customHeight="1" thickBot="1" x14ac:dyDescent="0.3">
      <c r="L37" s="153">
        <f>AVERAGEIF(I41:I61,N28,C41:C61)</f>
        <v>2.5555555555555554</v>
      </c>
      <c r="M37" s="154"/>
      <c r="N37" s="153">
        <f>AVERAGEIF(I41:I61,N28,D41:D61)</f>
        <v>0.66666666666666663</v>
      </c>
      <c r="O37" s="154"/>
      <c r="Z37" s="82">
        <f t="shared" ref="Z37:AF37" si="20">COUNTIF(Z17:Z36,"SIM")</f>
        <v>8</v>
      </c>
      <c r="AA37" s="82">
        <f t="shared" si="20"/>
        <v>9</v>
      </c>
      <c r="AB37" s="82">
        <f t="shared" si="20"/>
        <v>6</v>
      </c>
      <c r="AC37" s="82">
        <f t="shared" si="20"/>
        <v>9</v>
      </c>
      <c r="AD37" s="82">
        <f t="shared" si="20"/>
        <v>8</v>
      </c>
      <c r="AE37" s="82">
        <f t="shared" si="20"/>
        <v>6</v>
      </c>
      <c r="AF37" s="82">
        <f t="shared" si="20"/>
        <v>2</v>
      </c>
    </row>
    <row r="38" spans="1:40" ht="15.75" customHeight="1" thickBot="1" x14ac:dyDescent="0.3">
      <c r="L38" s="140" t="s">
        <v>278</v>
      </c>
      <c r="M38" s="140"/>
      <c r="N38" s="140"/>
      <c r="O38" s="140"/>
      <c r="Z38" s="76">
        <f>Z37/$Y$17</f>
        <v>0.88888888888888884</v>
      </c>
      <c r="AA38" s="76">
        <f t="shared" ref="AA38:AF38" si="21">AA37/$Y$17</f>
        <v>1</v>
      </c>
      <c r="AB38" s="76">
        <f t="shared" si="21"/>
        <v>0.66666666666666663</v>
      </c>
      <c r="AC38" s="76">
        <f t="shared" si="21"/>
        <v>1</v>
      </c>
      <c r="AD38" s="76">
        <f t="shared" si="21"/>
        <v>0.88888888888888884</v>
      </c>
      <c r="AE38" s="76">
        <f t="shared" si="21"/>
        <v>0.66666666666666663</v>
      </c>
      <c r="AF38" s="76">
        <f t="shared" si="21"/>
        <v>0.22222222222222221</v>
      </c>
    </row>
    <row r="39" spans="1:40" ht="15.75" thickBot="1" x14ac:dyDescent="0.3">
      <c r="A39" s="88" t="s">
        <v>290</v>
      </c>
      <c r="B39" s="88"/>
      <c r="C39" s="88"/>
      <c r="D39" s="88"/>
      <c r="E39" s="88"/>
      <c r="F39" s="88"/>
      <c r="G39" s="88"/>
      <c r="H39" s="88"/>
      <c r="I39" s="88"/>
      <c r="L39" s="153">
        <f>SUM(L37,N37)</f>
        <v>3.2222222222222219</v>
      </c>
      <c r="M39" s="155"/>
      <c r="N39" s="155"/>
      <c r="O39" s="154"/>
      <c r="AG39" s="82" t="str">
        <f>ANALISES!E2</f>
        <v>Colon de Santa Fe</v>
      </c>
      <c r="AH39" s="82" t="str">
        <f>ANALISES!E3</f>
        <v>Aldosivi Mar del Plata</v>
      </c>
    </row>
    <row r="40" spans="1:40" x14ac:dyDescent="0.25">
      <c r="A40" s="87" t="s">
        <v>68</v>
      </c>
      <c r="B40" s="87" t="s">
        <v>275</v>
      </c>
      <c r="C40" s="87" t="s">
        <v>276</v>
      </c>
      <c r="D40" s="87"/>
      <c r="E40" s="87" t="s">
        <v>67</v>
      </c>
      <c r="F40" s="87"/>
      <c r="G40" s="87" t="s">
        <v>14</v>
      </c>
      <c r="H40" s="87"/>
      <c r="I40" s="87" t="s">
        <v>275</v>
      </c>
      <c r="AG40" s="82" t="s">
        <v>1</v>
      </c>
      <c r="AH40" s="82" t="s">
        <v>67</v>
      </c>
      <c r="AI40" s="82" t="s">
        <v>268</v>
      </c>
      <c r="AJ40" s="82" t="s">
        <v>285</v>
      </c>
      <c r="AK40" s="82" t="s">
        <v>286</v>
      </c>
      <c r="AL40" s="82" t="s">
        <v>287</v>
      </c>
      <c r="AM40" s="82" t="s">
        <v>284</v>
      </c>
      <c r="AN40" s="82" t="s">
        <v>288</v>
      </c>
    </row>
    <row r="41" spans="1:40" ht="15.75" customHeight="1" x14ac:dyDescent="0.25">
      <c r="A41" s="89" t="s">
        <v>324</v>
      </c>
      <c r="B41" s="89" t="s">
        <v>564</v>
      </c>
      <c r="C41" s="89">
        <v>0</v>
      </c>
      <c r="D41" s="89">
        <v>0</v>
      </c>
      <c r="E41" s="89">
        <v>0</v>
      </c>
      <c r="F41" s="89">
        <v>0</v>
      </c>
      <c r="G41" s="89">
        <v>6</v>
      </c>
      <c r="H41" s="89">
        <v>5</v>
      </c>
      <c r="I41" s="89" t="s">
        <v>584</v>
      </c>
      <c r="AG41" s="82">
        <f>COUNTIF(I41:I60,AH39)</f>
        <v>9</v>
      </c>
      <c r="AH41" s="82" t="str">
        <f>IF(AND(I41=$AH$39,OR(E41&gt;0,F41&gt;0)),"SIM","NÃO")</f>
        <v>NÃO</v>
      </c>
      <c r="AI41" s="82" t="str">
        <f>IF(AND(I41=$AH$39,SUM(C41:D41)&gt;0),"SIM","NÃO")</f>
        <v>NÃO</v>
      </c>
      <c r="AJ41" s="82" t="str">
        <f>IF(AND(I41=$AH$39,C41&gt;0,D41&gt;0),"SIM","NÃO")</f>
        <v>NÃO</v>
      </c>
      <c r="AK41" s="82" t="str">
        <f>IF(AND(I41=$AH$39,SUM(C41:D41)&gt;0.5),"SIM","NÃO")</f>
        <v>NÃO</v>
      </c>
      <c r="AL41" s="82" t="str">
        <f>IF(AND(I41=$AH$39,SUM(C41:D41)&gt;1.5),"SIM","NÃO")</f>
        <v>NÃO</v>
      </c>
      <c r="AM41" s="82" t="str">
        <f>IF(AND(I41=$AH$39,SUM(C41:D41)&gt;2.5),"SIM","NÃO")</f>
        <v>NÃO</v>
      </c>
      <c r="AN41" s="82" t="str">
        <f>IF(AND(I41=$AH$39,SUM(C41:D41)&gt;3.5),"SIM","NÃO")</f>
        <v>NÃO</v>
      </c>
    </row>
    <row r="42" spans="1:40" ht="15.75" customHeight="1" thickBot="1" x14ac:dyDescent="0.3">
      <c r="A42" s="89" t="s">
        <v>324</v>
      </c>
      <c r="B42" s="89" t="s">
        <v>1403</v>
      </c>
      <c r="C42" s="89">
        <v>5</v>
      </c>
      <c r="D42" s="89">
        <v>1</v>
      </c>
      <c r="E42" s="89">
        <v>1</v>
      </c>
      <c r="F42" s="89">
        <v>1</v>
      </c>
      <c r="G42" s="89">
        <v>2</v>
      </c>
      <c r="H42" s="89">
        <v>3</v>
      </c>
      <c r="I42" s="89" t="s">
        <v>564</v>
      </c>
      <c r="AH42" s="82" t="str">
        <f t="shared" ref="AH42:AH60" si="22">IF(AND(I42=$AH$39,OR(E42&gt;0,F42&gt;0)),"SIM","NÃO")</f>
        <v>SIM</v>
      </c>
      <c r="AI42" s="82" t="str">
        <f t="shared" ref="AI42:AI60" si="23">IF(AND(I42=$AH$39,SUM(C42:D42)&gt;0),"SIM","NÃO")</f>
        <v>SIM</v>
      </c>
      <c r="AJ42" s="82" t="str">
        <f t="shared" ref="AJ42:AJ60" si="24">IF(AND(I42=$AH$39,C42&gt;0,D42&gt;0),"SIM","NÃO")</f>
        <v>SIM</v>
      </c>
      <c r="AK42" s="82" t="str">
        <f t="shared" ref="AK42:AK60" si="25">IF(AND(I42=$AH$39,SUM(C42:D42)&gt;0.5),"SIM","NÃO")</f>
        <v>SIM</v>
      </c>
      <c r="AL42" s="82" t="str">
        <f t="shared" ref="AL42:AL60" si="26">IF(AND(I42=$AH$39,SUM(C42:D42)&gt;1.5),"SIM","NÃO")</f>
        <v>SIM</v>
      </c>
      <c r="AM42" s="82" t="str">
        <f t="shared" ref="AM42:AM60" si="27">IF(AND(I42=$AH$39,SUM(C42:D42)&gt;2.5),"SIM","NÃO")</f>
        <v>SIM</v>
      </c>
      <c r="AN42" s="82" t="str">
        <f t="shared" ref="AN42:AN60" si="28">IF(AND(I42=$AH$39,SUM(C42:D42)&gt;3.5),"SIM","NÃO")</f>
        <v>SIM</v>
      </c>
    </row>
    <row r="43" spans="1:40" ht="15.75" customHeight="1" thickBot="1" x14ac:dyDescent="0.3">
      <c r="A43" s="89" t="s">
        <v>324</v>
      </c>
      <c r="B43" s="89" t="s">
        <v>564</v>
      </c>
      <c r="C43" s="89">
        <v>0</v>
      </c>
      <c r="D43" s="89">
        <v>3</v>
      </c>
      <c r="E43" s="89">
        <v>0</v>
      </c>
      <c r="F43" s="89">
        <v>2</v>
      </c>
      <c r="G43" s="89">
        <v>8</v>
      </c>
      <c r="H43" s="89">
        <v>3</v>
      </c>
      <c r="I43" s="89" t="s">
        <v>1405</v>
      </c>
      <c r="L43" s="140" t="s">
        <v>14</v>
      </c>
      <c r="M43" s="140"/>
      <c r="N43" s="140"/>
      <c r="O43" s="140"/>
      <c r="AH43" s="82" t="str">
        <f t="shared" si="22"/>
        <v>NÃO</v>
      </c>
      <c r="AI43" s="82" t="str">
        <f t="shared" si="23"/>
        <v>NÃO</v>
      </c>
      <c r="AJ43" s="82" t="str">
        <f t="shared" si="24"/>
        <v>NÃO</v>
      </c>
      <c r="AK43" s="82" t="str">
        <f t="shared" si="25"/>
        <v>NÃO</v>
      </c>
      <c r="AL43" s="82" t="str">
        <f t="shared" si="26"/>
        <v>NÃO</v>
      </c>
      <c r="AM43" s="82" t="str">
        <f t="shared" si="27"/>
        <v>NÃO</v>
      </c>
      <c r="AN43" s="82" t="str">
        <f t="shared" si="28"/>
        <v>NÃO</v>
      </c>
    </row>
    <row r="44" spans="1:40" ht="15.75" customHeight="1" thickBot="1" x14ac:dyDescent="0.3">
      <c r="A44" s="89" t="s">
        <v>324</v>
      </c>
      <c r="B44" s="89" t="s">
        <v>564</v>
      </c>
      <c r="C44" s="89">
        <v>1</v>
      </c>
      <c r="D44" s="89">
        <v>2</v>
      </c>
      <c r="E44" s="89">
        <v>0</v>
      </c>
      <c r="F44" s="89">
        <v>1</v>
      </c>
      <c r="G44" s="89">
        <v>2</v>
      </c>
      <c r="H44" s="89">
        <v>9</v>
      </c>
      <c r="I44" s="89" t="s">
        <v>1398</v>
      </c>
      <c r="L44" s="156" t="str">
        <f>L2</f>
        <v>Colon de Santa Fe</v>
      </c>
      <c r="M44" s="157"/>
      <c r="N44" s="156" t="str">
        <f>N2</f>
        <v>Aldosivi Mar del Plata</v>
      </c>
      <c r="O44" s="157"/>
      <c r="AH44" s="82" t="str">
        <f t="shared" si="22"/>
        <v>NÃO</v>
      </c>
      <c r="AI44" s="82" t="str">
        <f t="shared" si="23"/>
        <v>NÃO</v>
      </c>
      <c r="AJ44" s="82" t="str">
        <f t="shared" si="24"/>
        <v>NÃO</v>
      </c>
      <c r="AK44" s="82" t="str">
        <f t="shared" si="25"/>
        <v>NÃO</v>
      </c>
      <c r="AL44" s="82" t="str">
        <f t="shared" si="26"/>
        <v>NÃO</v>
      </c>
      <c r="AM44" s="82" t="str">
        <f t="shared" si="27"/>
        <v>NÃO</v>
      </c>
      <c r="AN44" s="82" t="str">
        <f t="shared" si="28"/>
        <v>NÃO</v>
      </c>
    </row>
    <row r="45" spans="1:40" ht="15.75" customHeight="1" thickBot="1" x14ac:dyDescent="0.3">
      <c r="A45" s="89" t="s">
        <v>324</v>
      </c>
      <c r="B45" s="89" t="s">
        <v>1399</v>
      </c>
      <c r="C45" s="89">
        <v>3</v>
      </c>
      <c r="D45" s="89">
        <v>2</v>
      </c>
      <c r="E45" s="89">
        <v>1</v>
      </c>
      <c r="F45" s="89">
        <v>2</v>
      </c>
      <c r="G45" s="89">
        <v>2</v>
      </c>
      <c r="H45" s="89">
        <v>6</v>
      </c>
      <c r="I45" s="89" t="s">
        <v>564</v>
      </c>
      <c r="L45" s="158">
        <f>AVERAGE(L3,L16,L29)</f>
        <v>4.4814814814814818</v>
      </c>
      <c r="M45" s="159"/>
      <c r="N45" s="158">
        <f>AVERAGE(N3,N16,N29)</f>
        <v>4.2222222222222223</v>
      </c>
      <c r="O45" s="159"/>
      <c r="AH45" s="82" t="str">
        <f t="shared" si="22"/>
        <v>SIM</v>
      </c>
      <c r="AI45" s="82" t="str">
        <f t="shared" si="23"/>
        <v>SIM</v>
      </c>
      <c r="AJ45" s="82" t="str">
        <f t="shared" si="24"/>
        <v>SIM</v>
      </c>
      <c r="AK45" s="82" t="str">
        <f t="shared" si="25"/>
        <v>SIM</v>
      </c>
      <c r="AL45" s="82" t="str">
        <f t="shared" si="26"/>
        <v>SIM</v>
      </c>
      <c r="AM45" s="82" t="str">
        <f t="shared" si="27"/>
        <v>SIM</v>
      </c>
      <c r="AN45" s="82" t="str">
        <f t="shared" si="28"/>
        <v>SIM</v>
      </c>
    </row>
    <row r="46" spans="1:40" ht="15.75" customHeight="1" thickBot="1" x14ac:dyDescent="0.3">
      <c r="A46" s="89" t="s">
        <v>324</v>
      </c>
      <c r="B46" s="89" t="s">
        <v>564</v>
      </c>
      <c r="C46" s="89">
        <v>1</v>
      </c>
      <c r="D46" s="89">
        <v>0</v>
      </c>
      <c r="E46" s="89">
        <v>1</v>
      </c>
      <c r="F46" s="89">
        <v>0</v>
      </c>
      <c r="G46" s="89">
        <v>3</v>
      </c>
      <c r="H46" s="89">
        <v>4</v>
      </c>
      <c r="I46" s="89" t="s">
        <v>515</v>
      </c>
      <c r="L46" s="140" t="s">
        <v>277</v>
      </c>
      <c r="M46" s="140"/>
      <c r="N46" s="140"/>
      <c r="O46" s="140"/>
      <c r="AH46" s="82" t="str">
        <f t="shared" si="22"/>
        <v>NÃO</v>
      </c>
      <c r="AI46" s="82" t="str">
        <f t="shared" si="23"/>
        <v>NÃO</v>
      </c>
      <c r="AJ46" s="82" t="str">
        <f t="shared" si="24"/>
        <v>NÃO</v>
      </c>
      <c r="AK46" s="82" t="str">
        <f t="shared" si="25"/>
        <v>NÃO</v>
      </c>
      <c r="AL46" s="82" t="str">
        <f t="shared" si="26"/>
        <v>NÃO</v>
      </c>
      <c r="AM46" s="82" t="str">
        <f t="shared" si="27"/>
        <v>NÃO</v>
      </c>
      <c r="AN46" s="82" t="str">
        <f t="shared" si="28"/>
        <v>NÃO</v>
      </c>
    </row>
    <row r="47" spans="1:40" ht="15.75" customHeight="1" thickBot="1" x14ac:dyDescent="0.3">
      <c r="A47" s="89" t="s">
        <v>324</v>
      </c>
      <c r="B47" s="89" t="s">
        <v>1407</v>
      </c>
      <c r="C47" s="89">
        <v>2</v>
      </c>
      <c r="D47" s="89">
        <v>0</v>
      </c>
      <c r="E47" s="89">
        <v>1</v>
      </c>
      <c r="F47" s="89">
        <v>0</v>
      </c>
      <c r="G47" s="89">
        <v>3</v>
      </c>
      <c r="H47" s="89">
        <v>3</v>
      </c>
      <c r="I47" s="89" t="s">
        <v>564</v>
      </c>
      <c r="L47" s="156" t="str">
        <f>L44</f>
        <v>Colon de Santa Fe</v>
      </c>
      <c r="M47" s="157"/>
      <c r="N47" s="156" t="str">
        <f>N44</f>
        <v>Aldosivi Mar del Plata</v>
      </c>
      <c r="O47" s="157"/>
      <c r="AH47" s="82" t="str">
        <f t="shared" si="22"/>
        <v>SIM</v>
      </c>
      <c r="AI47" s="82" t="str">
        <f t="shared" si="23"/>
        <v>SIM</v>
      </c>
      <c r="AJ47" s="82" t="str">
        <f t="shared" si="24"/>
        <v>NÃO</v>
      </c>
      <c r="AK47" s="82" t="str">
        <f t="shared" si="25"/>
        <v>SIM</v>
      </c>
      <c r="AL47" s="82" t="str">
        <f t="shared" si="26"/>
        <v>SIM</v>
      </c>
      <c r="AM47" s="82" t="str">
        <f t="shared" si="27"/>
        <v>NÃO</v>
      </c>
      <c r="AN47" s="82" t="str">
        <f t="shared" si="28"/>
        <v>NÃO</v>
      </c>
    </row>
    <row r="48" spans="1:40" ht="15.75" customHeight="1" thickBot="1" x14ac:dyDescent="0.3">
      <c r="A48" s="89" t="s">
        <v>324</v>
      </c>
      <c r="B48" s="89" t="s">
        <v>564</v>
      </c>
      <c r="C48" s="89">
        <v>1</v>
      </c>
      <c r="D48" s="89">
        <v>2</v>
      </c>
      <c r="E48" s="89">
        <v>0</v>
      </c>
      <c r="F48" s="89">
        <v>1</v>
      </c>
      <c r="G48" s="89">
        <v>5</v>
      </c>
      <c r="H48" s="89">
        <v>2</v>
      </c>
      <c r="I48" s="89" t="s">
        <v>1401</v>
      </c>
      <c r="L48" s="153">
        <f>AVERAGE(L6,L19,L32)</f>
        <v>0.96296296296296291</v>
      </c>
      <c r="M48" s="154"/>
      <c r="N48" s="153">
        <f>AVERAGE(N6,N19,N32)</f>
        <v>0.40740740740740744</v>
      </c>
      <c r="O48" s="154"/>
      <c r="AH48" s="82" t="str">
        <f t="shared" si="22"/>
        <v>NÃO</v>
      </c>
      <c r="AI48" s="82" t="str">
        <f t="shared" si="23"/>
        <v>NÃO</v>
      </c>
      <c r="AJ48" s="82" t="str">
        <f t="shared" si="24"/>
        <v>NÃO</v>
      </c>
      <c r="AK48" s="82" t="str">
        <f t="shared" si="25"/>
        <v>NÃO</v>
      </c>
      <c r="AL48" s="82" t="str">
        <f t="shared" si="26"/>
        <v>NÃO</v>
      </c>
      <c r="AM48" s="82" t="str">
        <f t="shared" si="27"/>
        <v>NÃO</v>
      </c>
      <c r="AN48" s="82" t="str">
        <f t="shared" si="28"/>
        <v>NÃO</v>
      </c>
    </row>
    <row r="49" spans="1:40" ht="15.75" customHeight="1" thickBot="1" x14ac:dyDescent="0.3">
      <c r="A49" s="89" t="s">
        <v>324</v>
      </c>
      <c r="B49" s="89" t="s">
        <v>556</v>
      </c>
      <c r="C49" s="89">
        <v>2</v>
      </c>
      <c r="D49" s="89">
        <v>0</v>
      </c>
      <c r="E49" s="89">
        <v>1</v>
      </c>
      <c r="F49" s="89">
        <v>0</v>
      </c>
      <c r="G49" s="89">
        <v>7</v>
      </c>
      <c r="H49" s="89">
        <v>3</v>
      </c>
      <c r="I49" s="89" t="s">
        <v>564</v>
      </c>
      <c r="L49" s="140" t="s">
        <v>279</v>
      </c>
      <c r="M49" s="140"/>
      <c r="N49" s="140"/>
      <c r="O49" s="140"/>
      <c r="AH49" s="82" t="str">
        <f t="shared" si="22"/>
        <v>SIM</v>
      </c>
      <c r="AI49" s="82" t="str">
        <f t="shared" si="23"/>
        <v>SIM</v>
      </c>
      <c r="AJ49" s="82" t="str">
        <f t="shared" si="24"/>
        <v>NÃO</v>
      </c>
      <c r="AK49" s="82" t="str">
        <f t="shared" si="25"/>
        <v>SIM</v>
      </c>
      <c r="AL49" s="82" t="str">
        <f t="shared" si="26"/>
        <v>SIM</v>
      </c>
      <c r="AM49" s="82" t="str">
        <f t="shared" si="27"/>
        <v>NÃO</v>
      </c>
      <c r="AN49" s="82" t="str">
        <f t="shared" si="28"/>
        <v>NÃO</v>
      </c>
    </row>
    <row r="50" spans="1:40" ht="15.75" customHeight="1" thickBot="1" x14ac:dyDescent="0.3">
      <c r="A50" s="89" t="s">
        <v>324</v>
      </c>
      <c r="B50" s="89" t="s">
        <v>564</v>
      </c>
      <c r="C50" s="89">
        <v>1</v>
      </c>
      <c r="D50" s="89">
        <v>1</v>
      </c>
      <c r="E50" s="89">
        <v>0</v>
      </c>
      <c r="F50" s="89">
        <v>0</v>
      </c>
      <c r="G50" s="89">
        <v>3</v>
      </c>
      <c r="H50" s="89">
        <v>5</v>
      </c>
      <c r="I50" s="89" t="s">
        <v>1408</v>
      </c>
      <c r="L50" s="153">
        <f>SUM(L48:O48)</f>
        <v>1.3703703703703702</v>
      </c>
      <c r="M50" s="155"/>
      <c r="N50" s="155"/>
      <c r="O50" s="154"/>
      <c r="AH50" s="82" t="str">
        <f t="shared" si="22"/>
        <v>NÃO</v>
      </c>
      <c r="AI50" s="82" t="str">
        <f t="shared" si="23"/>
        <v>NÃO</v>
      </c>
      <c r="AJ50" s="82" t="str">
        <f t="shared" si="24"/>
        <v>NÃO</v>
      </c>
      <c r="AK50" s="82" t="str">
        <f t="shared" si="25"/>
        <v>NÃO</v>
      </c>
      <c r="AL50" s="82" t="str">
        <f t="shared" si="26"/>
        <v>NÃO</v>
      </c>
      <c r="AM50" s="82" t="str">
        <f t="shared" si="27"/>
        <v>NÃO</v>
      </c>
      <c r="AN50" s="82" t="str">
        <f t="shared" si="28"/>
        <v>NÃO</v>
      </c>
    </row>
    <row r="51" spans="1:40" ht="15.75" customHeight="1" thickBot="1" x14ac:dyDescent="0.3">
      <c r="A51" s="89" t="s">
        <v>324</v>
      </c>
      <c r="B51" s="89" t="s">
        <v>1409</v>
      </c>
      <c r="C51" s="89">
        <v>2</v>
      </c>
      <c r="D51" s="89">
        <v>1</v>
      </c>
      <c r="E51" s="89">
        <v>2</v>
      </c>
      <c r="F51" s="89">
        <v>1</v>
      </c>
      <c r="G51" s="89">
        <v>4</v>
      </c>
      <c r="H51" s="89">
        <v>6</v>
      </c>
      <c r="I51" s="89" t="s">
        <v>564</v>
      </c>
      <c r="L51" s="140" t="s">
        <v>273</v>
      </c>
      <c r="M51" s="140"/>
      <c r="N51" s="140"/>
      <c r="O51" s="140"/>
      <c r="AH51" s="82" t="str">
        <f t="shared" si="22"/>
        <v>SIM</v>
      </c>
      <c r="AI51" s="82" t="str">
        <f t="shared" si="23"/>
        <v>SIM</v>
      </c>
      <c r="AJ51" s="82" t="str">
        <f t="shared" si="24"/>
        <v>SIM</v>
      </c>
      <c r="AK51" s="82" t="str">
        <f t="shared" si="25"/>
        <v>SIM</v>
      </c>
      <c r="AL51" s="82" t="str">
        <f t="shared" si="26"/>
        <v>SIM</v>
      </c>
      <c r="AM51" s="82" t="str">
        <f t="shared" si="27"/>
        <v>SIM</v>
      </c>
      <c r="AN51" s="82" t="str">
        <f t="shared" si="28"/>
        <v>NÃO</v>
      </c>
    </row>
    <row r="52" spans="1:40" ht="15.75" customHeight="1" thickBot="1" x14ac:dyDescent="0.3">
      <c r="A52" s="89" t="s">
        <v>324</v>
      </c>
      <c r="B52" s="89" t="s">
        <v>564</v>
      </c>
      <c r="C52" s="89">
        <v>3</v>
      </c>
      <c r="D52" s="89">
        <v>0</v>
      </c>
      <c r="E52" s="89">
        <v>0</v>
      </c>
      <c r="F52" s="89">
        <v>0</v>
      </c>
      <c r="G52" s="89">
        <v>4</v>
      </c>
      <c r="H52" s="89">
        <v>5</v>
      </c>
      <c r="I52" s="89" t="s">
        <v>359</v>
      </c>
      <c r="L52" s="156" t="str">
        <f>L44</f>
        <v>Colon de Santa Fe</v>
      </c>
      <c r="M52" s="157"/>
      <c r="N52" s="156" t="str">
        <f>N44</f>
        <v>Aldosivi Mar del Plata</v>
      </c>
      <c r="O52" s="157"/>
      <c r="AH52" s="82" t="str">
        <f t="shared" si="22"/>
        <v>NÃO</v>
      </c>
      <c r="AI52" s="82" t="str">
        <f t="shared" si="23"/>
        <v>NÃO</v>
      </c>
      <c r="AJ52" s="82" t="str">
        <f t="shared" si="24"/>
        <v>NÃO</v>
      </c>
      <c r="AK52" s="82" t="str">
        <f t="shared" si="25"/>
        <v>NÃO</v>
      </c>
      <c r="AL52" s="82" t="str">
        <f t="shared" si="26"/>
        <v>NÃO</v>
      </c>
      <c r="AM52" s="82" t="str">
        <f t="shared" si="27"/>
        <v>NÃO</v>
      </c>
      <c r="AN52" s="82" t="str">
        <f t="shared" si="28"/>
        <v>NÃO</v>
      </c>
    </row>
    <row r="53" spans="1:40" ht="15.75" customHeight="1" thickBot="1" x14ac:dyDescent="0.3">
      <c r="A53" s="89" t="s">
        <v>324</v>
      </c>
      <c r="B53" s="89" t="s">
        <v>1410</v>
      </c>
      <c r="C53" s="89">
        <v>2</v>
      </c>
      <c r="D53" s="89">
        <v>0</v>
      </c>
      <c r="E53" s="89">
        <v>1</v>
      </c>
      <c r="F53" s="89">
        <v>0</v>
      </c>
      <c r="G53" s="89">
        <v>4</v>
      </c>
      <c r="H53" s="89">
        <v>6</v>
      </c>
      <c r="I53" s="89" t="s">
        <v>564</v>
      </c>
      <c r="L53" s="153">
        <f>AVERAGE(L11,L24,L37)</f>
        <v>2.1481481481481484</v>
      </c>
      <c r="M53" s="154"/>
      <c r="N53" s="153">
        <f>AVERAGE(N11,N24,N37)</f>
        <v>0.55555555555555547</v>
      </c>
      <c r="O53" s="154"/>
      <c r="AH53" s="82" t="str">
        <f t="shared" si="22"/>
        <v>SIM</v>
      </c>
      <c r="AI53" s="82" t="str">
        <f t="shared" si="23"/>
        <v>SIM</v>
      </c>
      <c r="AJ53" s="82" t="str">
        <f t="shared" si="24"/>
        <v>NÃO</v>
      </c>
      <c r="AK53" s="82" t="str">
        <f t="shared" si="25"/>
        <v>SIM</v>
      </c>
      <c r="AL53" s="82" t="str">
        <f t="shared" si="26"/>
        <v>SIM</v>
      </c>
      <c r="AM53" s="82" t="str">
        <f t="shared" si="27"/>
        <v>NÃO</v>
      </c>
      <c r="AN53" s="82" t="str">
        <f t="shared" si="28"/>
        <v>NÃO</v>
      </c>
    </row>
    <row r="54" spans="1:40" ht="15.75" customHeight="1" thickBot="1" x14ac:dyDescent="0.3">
      <c r="A54" s="89" t="s">
        <v>324</v>
      </c>
      <c r="B54" s="89" t="s">
        <v>564</v>
      </c>
      <c r="C54" s="89">
        <v>0</v>
      </c>
      <c r="D54" s="89">
        <v>0</v>
      </c>
      <c r="E54" s="89">
        <v>0</v>
      </c>
      <c r="F54" s="89">
        <v>0</v>
      </c>
      <c r="G54" s="89">
        <v>9</v>
      </c>
      <c r="H54" s="89">
        <v>2</v>
      </c>
      <c r="I54" s="89" t="s">
        <v>171</v>
      </c>
      <c r="L54" s="140" t="s">
        <v>278</v>
      </c>
      <c r="M54" s="140"/>
      <c r="N54" s="140"/>
      <c r="O54" s="140"/>
      <c r="AH54" s="82" t="str">
        <f t="shared" si="22"/>
        <v>NÃO</v>
      </c>
      <c r="AI54" s="82" t="str">
        <f t="shared" si="23"/>
        <v>NÃO</v>
      </c>
      <c r="AJ54" s="82" t="str">
        <f t="shared" si="24"/>
        <v>NÃO</v>
      </c>
      <c r="AK54" s="82" t="str">
        <f t="shared" si="25"/>
        <v>NÃO</v>
      </c>
      <c r="AL54" s="82" t="str">
        <f t="shared" si="26"/>
        <v>NÃO</v>
      </c>
      <c r="AM54" s="82" t="str">
        <f t="shared" si="27"/>
        <v>NÃO</v>
      </c>
      <c r="AN54" s="82" t="str">
        <f t="shared" si="28"/>
        <v>NÃO</v>
      </c>
    </row>
    <row r="55" spans="1:40" ht="15.75" customHeight="1" thickBot="1" x14ac:dyDescent="0.3">
      <c r="A55" s="89" t="s">
        <v>324</v>
      </c>
      <c r="B55" s="89" t="s">
        <v>1411</v>
      </c>
      <c r="C55" s="89">
        <v>1</v>
      </c>
      <c r="D55" s="89">
        <v>0</v>
      </c>
      <c r="E55" s="89">
        <v>1</v>
      </c>
      <c r="F55" s="89">
        <v>0</v>
      </c>
      <c r="G55" s="89">
        <v>6</v>
      </c>
      <c r="H55" s="89">
        <v>4</v>
      </c>
      <c r="I55" s="89" t="s">
        <v>564</v>
      </c>
      <c r="L55" s="153">
        <f>SUM(L53,N53)</f>
        <v>2.7037037037037037</v>
      </c>
      <c r="M55" s="155"/>
      <c r="N55" s="155"/>
      <c r="O55" s="154"/>
      <c r="AH55" s="82" t="str">
        <f t="shared" si="22"/>
        <v>SIM</v>
      </c>
      <c r="AI55" s="82" t="str">
        <f t="shared" si="23"/>
        <v>SIM</v>
      </c>
      <c r="AJ55" s="82" t="str">
        <f t="shared" si="24"/>
        <v>NÃO</v>
      </c>
      <c r="AK55" s="82" t="str">
        <f t="shared" si="25"/>
        <v>SIM</v>
      </c>
      <c r="AL55" s="82" t="str">
        <f t="shared" si="26"/>
        <v>NÃO</v>
      </c>
      <c r="AM55" s="82" t="str">
        <f t="shared" si="27"/>
        <v>NÃO</v>
      </c>
      <c r="AN55" s="82" t="str">
        <f t="shared" si="28"/>
        <v>NÃO</v>
      </c>
    </row>
    <row r="56" spans="1:40" ht="15.75" customHeight="1" x14ac:dyDescent="0.25">
      <c r="A56" s="89" t="s">
        <v>1412</v>
      </c>
      <c r="B56" s="89" t="s">
        <v>1398</v>
      </c>
      <c r="C56" s="89">
        <v>6</v>
      </c>
      <c r="D56" s="89">
        <v>0</v>
      </c>
      <c r="E56" s="89">
        <v>2</v>
      </c>
      <c r="F56" s="89">
        <v>0</v>
      </c>
      <c r="G56" s="89">
        <v>8</v>
      </c>
      <c r="H56" s="89">
        <v>2</v>
      </c>
      <c r="I56" s="89" t="s">
        <v>564</v>
      </c>
      <c r="AH56" s="82" t="str">
        <f t="shared" si="22"/>
        <v>SIM</v>
      </c>
      <c r="AI56" s="82" t="str">
        <f t="shared" si="23"/>
        <v>SIM</v>
      </c>
      <c r="AJ56" s="82" t="str">
        <f t="shared" si="24"/>
        <v>NÃO</v>
      </c>
      <c r="AK56" s="82" t="str">
        <f t="shared" si="25"/>
        <v>SIM</v>
      </c>
      <c r="AL56" s="82" t="str">
        <f t="shared" si="26"/>
        <v>SIM</v>
      </c>
      <c r="AM56" s="82" t="str">
        <f t="shared" si="27"/>
        <v>SIM</v>
      </c>
      <c r="AN56" s="82" t="str">
        <f t="shared" si="28"/>
        <v>SIM</v>
      </c>
    </row>
    <row r="57" spans="1:40" ht="15.75" customHeight="1" x14ac:dyDescent="0.25">
      <c r="A57" s="89" t="s">
        <v>1400</v>
      </c>
      <c r="B57" s="89" t="s">
        <v>564</v>
      </c>
      <c r="C57" s="89">
        <v>1</v>
      </c>
      <c r="D57" s="89">
        <v>1</v>
      </c>
      <c r="E57" s="89">
        <v>0</v>
      </c>
      <c r="F57" s="89">
        <v>1</v>
      </c>
      <c r="G57" s="89">
        <v>8</v>
      </c>
      <c r="H57" s="89">
        <v>8</v>
      </c>
      <c r="I57" s="89" t="s">
        <v>1398</v>
      </c>
      <c r="AH57" s="82" t="str">
        <f t="shared" si="22"/>
        <v>NÃO</v>
      </c>
      <c r="AI57" s="82" t="str">
        <f t="shared" si="23"/>
        <v>NÃO</v>
      </c>
      <c r="AJ57" s="82" t="str">
        <f t="shared" si="24"/>
        <v>NÃO</v>
      </c>
      <c r="AK57" s="82" t="str">
        <f t="shared" si="25"/>
        <v>NÃO</v>
      </c>
      <c r="AL57" s="82" t="str">
        <f t="shared" si="26"/>
        <v>NÃO</v>
      </c>
      <c r="AM57" s="82" t="str">
        <f t="shared" si="27"/>
        <v>NÃO</v>
      </c>
      <c r="AN57" s="82" t="str">
        <f t="shared" si="28"/>
        <v>NÃO</v>
      </c>
    </row>
    <row r="58" spans="1:40" ht="15.75" customHeight="1" x14ac:dyDescent="0.25">
      <c r="A58" s="89" t="s">
        <v>1412</v>
      </c>
      <c r="B58" s="89" t="s">
        <v>564</v>
      </c>
      <c r="C58" s="89">
        <v>1</v>
      </c>
      <c r="D58" s="89">
        <v>2</v>
      </c>
      <c r="E58" s="89">
        <v>0</v>
      </c>
      <c r="F58" s="89">
        <v>1</v>
      </c>
      <c r="G58" s="89">
        <v>4</v>
      </c>
      <c r="H58" s="89">
        <v>5</v>
      </c>
      <c r="I58" s="89" t="s">
        <v>1403</v>
      </c>
      <c r="AH58" s="82" t="str">
        <f t="shared" si="22"/>
        <v>NÃO</v>
      </c>
      <c r="AI58" s="82" t="str">
        <f t="shared" si="23"/>
        <v>NÃO</v>
      </c>
      <c r="AJ58" s="82" t="str">
        <f t="shared" si="24"/>
        <v>NÃO</v>
      </c>
      <c r="AK58" s="82" t="str">
        <f t="shared" si="25"/>
        <v>NÃO</v>
      </c>
      <c r="AL58" s="82" t="str">
        <f t="shared" si="26"/>
        <v>NÃO</v>
      </c>
      <c r="AM58" s="82" t="str">
        <f t="shared" si="27"/>
        <v>NÃO</v>
      </c>
      <c r="AN58" s="82" t="str">
        <f t="shared" si="28"/>
        <v>NÃO</v>
      </c>
    </row>
    <row r="59" spans="1:40" ht="15.75" customHeight="1" x14ac:dyDescent="0.25">
      <c r="A59" s="89" t="s">
        <v>1412</v>
      </c>
      <c r="B59" s="89" t="s">
        <v>1403</v>
      </c>
      <c r="C59" s="89">
        <v>0</v>
      </c>
      <c r="D59" s="89">
        <v>2</v>
      </c>
      <c r="E59" s="89">
        <v>0</v>
      </c>
      <c r="F59" s="89">
        <v>1</v>
      </c>
      <c r="G59" s="89">
        <v>8</v>
      </c>
      <c r="H59" s="89">
        <v>3</v>
      </c>
      <c r="I59" s="89" t="s">
        <v>564</v>
      </c>
      <c r="AH59" s="82" t="str">
        <f t="shared" si="22"/>
        <v>SIM</v>
      </c>
      <c r="AI59" s="82" t="str">
        <f t="shared" si="23"/>
        <v>SIM</v>
      </c>
      <c r="AJ59" s="82" t="str">
        <f t="shared" si="24"/>
        <v>NÃO</v>
      </c>
      <c r="AK59" s="82" t="str">
        <f t="shared" si="25"/>
        <v>SIM</v>
      </c>
      <c r="AL59" s="82" t="str">
        <f t="shared" si="26"/>
        <v>SIM</v>
      </c>
      <c r="AM59" s="82" t="str">
        <f t="shared" si="27"/>
        <v>NÃO</v>
      </c>
      <c r="AN59" s="82" t="str">
        <f t="shared" si="28"/>
        <v>NÃO</v>
      </c>
    </row>
    <row r="60" spans="1:40" ht="15.75" customHeight="1" x14ac:dyDescent="0.25">
      <c r="A60" s="89" t="s">
        <v>324</v>
      </c>
      <c r="B60" s="89" t="s">
        <v>564</v>
      </c>
      <c r="C60" s="89">
        <v>1</v>
      </c>
      <c r="D60" s="89">
        <v>1</v>
      </c>
      <c r="E60" s="89">
        <v>1</v>
      </c>
      <c r="F60" s="89">
        <v>1</v>
      </c>
      <c r="G60" s="89">
        <v>4</v>
      </c>
      <c r="H60" s="89">
        <v>8</v>
      </c>
      <c r="I60" s="89" t="s">
        <v>1410</v>
      </c>
      <c r="AH60" s="82" t="str">
        <f t="shared" si="22"/>
        <v>NÃO</v>
      </c>
      <c r="AI60" s="82" t="str">
        <f t="shared" si="23"/>
        <v>NÃO</v>
      </c>
      <c r="AJ60" s="82" t="str">
        <f t="shared" si="24"/>
        <v>NÃO</v>
      </c>
      <c r="AK60" s="82" t="str">
        <f t="shared" si="25"/>
        <v>NÃO</v>
      </c>
      <c r="AL60" s="82" t="str">
        <f t="shared" si="26"/>
        <v>NÃO</v>
      </c>
      <c r="AM60" s="82" t="str">
        <f t="shared" si="27"/>
        <v>NÃO</v>
      </c>
      <c r="AN60" s="82" t="str">
        <f t="shared" si="28"/>
        <v>NÃO</v>
      </c>
    </row>
    <row r="61" spans="1:40" ht="15.75" customHeight="1" x14ac:dyDescent="0.25">
      <c r="AH61" s="82">
        <f t="shared" ref="AH61:AN61" si="29">COUNTIF(AH41:AH60,"SIM")</f>
        <v>9</v>
      </c>
      <c r="AI61" s="82">
        <f t="shared" si="29"/>
        <v>9</v>
      </c>
      <c r="AJ61" s="82">
        <f t="shared" si="29"/>
        <v>3</v>
      </c>
      <c r="AK61" s="82">
        <f t="shared" si="29"/>
        <v>9</v>
      </c>
      <c r="AL61" s="82">
        <f t="shared" si="29"/>
        <v>8</v>
      </c>
      <c r="AM61" s="82">
        <f t="shared" si="29"/>
        <v>4</v>
      </c>
      <c r="AN61" s="82">
        <f t="shared" si="29"/>
        <v>3</v>
      </c>
    </row>
    <row r="62" spans="1:40" ht="15.75" customHeight="1" x14ac:dyDescent="0.25">
      <c r="AH62" s="76">
        <f>AH61/$AG$41</f>
        <v>1</v>
      </c>
      <c r="AI62" s="76">
        <f t="shared" ref="AI62:AN62" si="30">AI61/$AG$41</f>
        <v>1</v>
      </c>
      <c r="AJ62" s="76">
        <f t="shared" si="30"/>
        <v>0.33333333333333331</v>
      </c>
      <c r="AK62" s="76">
        <f t="shared" si="30"/>
        <v>1</v>
      </c>
      <c r="AL62" s="76">
        <f t="shared" si="30"/>
        <v>0.88888888888888884</v>
      </c>
      <c r="AM62" s="76">
        <f t="shared" si="30"/>
        <v>0.44444444444444442</v>
      </c>
      <c r="AN62" s="76">
        <f t="shared" si="30"/>
        <v>0.33333333333333331</v>
      </c>
    </row>
    <row r="64" spans="1:40" ht="15.75" customHeight="1" x14ac:dyDescent="0.25"/>
    <row r="65" ht="15.75" customHeight="1" x14ac:dyDescent="0.25"/>
  </sheetData>
  <mergeCells count="76">
    <mergeCell ref="L15:M15"/>
    <mergeCell ref="N15:O15"/>
    <mergeCell ref="L13:O13"/>
    <mergeCell ref="N6:O6"/>
    <mergeCell ref="L11:M11"/>
    <mergeCell ref="N11:O11"/>
    <mergeCell ref="L14:O14"/>
    <mergeCell ref="L10:M10"/>
    <mergeCell ref="N10:O10"/>
    <mergeCell ref="L5:M5"/>
    <mergeCell ref="N5:O5"/>
    <mergeCell ref="L12:O12"/>
    <mergeCell ref="L8:O8"/>
    <mergeCell ref="L1:O1"/>
    <mergeCell ref="L4:O4"/>
    <mergeCell ref="L7:O7"/>
    <mergeCell ref="L9:O9"/>
    <mergeCell ref="L2:M2"/>
    <mergeCell ref="N2:O2"/>
    <mergeCell ref="L3:M3"/>
    <mergeCell ref="N3:O3"/>
    <mergeCell ref="L6:M6"/>
    <mergeCell ref="L16:M16"/>
    <mergeCell ref="N16:O16"/>
    <mergeCell ref="L17:O17"/>
    <mergeCell ref="L18:M18"/>
    <mergeCell ref="N18:O18"/>
    <mergeCell ref="L19:M19"/>
    <mergeCell ref="N19:O19"/>
    <mergeCell ref="L20:O20"/>
    <mergeCell ref="L21:O21"/>
    <mergeCell ref="L22:O22"/>
    <mergeCell ref="L23:M23"/>
    <mergeCell ref="N23:O23"/>
    <mergeCell ref="L24:M24"/>
    <mergeCell ref="N24:O24"/>
    <mergeCell ref="L25:O25"/>
    <mergeCell ref="L26:O26"/>
    <mergeCell ref="L27:O27"/>
    <mergeCell ref="L28:M28"/>
    <mergeCell ref="N28:O28"/>
    <mergeCell ref="L29:M29"/>
    <mergeCell ref="N29:O29"/>
    <mergeCell ref="L30:O30"/>
    <mergeCell ref="L31:M31"/>
    <mergeCell ref="N31:O31"/>
    <mergeCell ref="L32:M32"/>
    <mergeCell ref="N32:O32"/>
    <mergeCell ref="L37:M37"/>
    <mergeCell ref="N37:O37"/>
    <mergeCell ref="L38:O38"/>
    <mergeCell ref="L39:O39"/>
    <mergeCell ref="L33:O33"/>
    <mergeCell ref="L34:O34"/>
    <mergeCell ref="L35:O35"/>
    <mergeCell ref="L36:M36"/>
    <mergeCell ref="N36:O36"/>
    <mergeCell ref="L43:O43"/>
    <mergeCell ref="L44:M44"/>
    <mergeCell ref="N44:O44"/>
    <mergeCell ref="L45:M45"/>
    <mergeCell ref="N45:O45"/>
    <mergeCell ref="L46:O46"/>
    <mergeCell ref="L47:M47"/>
    <mergeCell ref="N47:O47"/>
    <mergeCell ref="L48:M48"/>
    <mergeCell ref="N48:O48"/>
    <mergeCell ref="L53:M53"/>
    <mergeCell ref="N53:O53"/>
    <mergeCell ref="L54:O54"/>
    <mergeCell ref="L55:O55"/>
    <mergeCell ref="L49:O49"/>
    <mergeCell ref="L50:O50"/>
    <mergeCell ref="L51:O51"/>
    <mergeCell ref="L52:M52"/>
    <mergeCell ref="N52:O52"/>
  </mergeCells>
  <conditionalFormatting sqref="AH21">
    <cfRule type="cellIs" dxfId="39" priority="5" operator="greaterThanOrEqual">
      <formula>0.6</formula>
    </cfRule>
  </conditionalFormatting>
  <conditionalFormatting sqref="AI21">
    <cfRule type="cellIs" dxfId="38" priority="4" operator="greaterThanOrEqual">
      <formula>0.85</formula>
    </cfRule>
  </conditionalFormatting>
  <conditionalFormatting sqref="AK21">
    <cfRule type="cellIs" dxfId="37" priority="3" operator="greaterThanOrEqual">
      <formula>0.85</formula>
    </cfRule>
  </conditionalFormatting>
  <conditionalFormatting sqref="AJ21">
    <cfRule type="cellIs" dxfId="36" priority="1" operator="greaterThan">
      <formula>0.51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V27"/>
  <sheetViews>
    <sheetView showGridLines="0" topLeftCell="A4" zoomScale="80" zoomScaleNormal="80" workbookViewId="0">
      <selection activeCell="I8" sqref="I8"/>
    </sheetView>
  </sheetViews>
  <sheetFormatPr defaultColWidth="9.7109375" defaultRowHeight="15" x14ac:dyDescent="0.25"/>
  <cols>
    <col min="1" max="1" width="16.42578125" style="3" bestFit="1" customWidth="1"/>
    <col min="2" max="2" width="18.85546875" style="3" hidden="1" customWidth="1"/>
    <col min="3" max="3" width="14.5703125" style="3" hidden="1" customWidth="1"/>
    <col min="4" max="5" width="20.28515625" style="3" hidden="1" customWidth="1"/>
    <col min="6" max="6" width="25.28515625" style="3" bestFit="1" customWidth="1"/>
    <col min="7" max="7" width="18.140625" style="3" bestFit="1" customWidth="1"/>
    <col min="8" max="8" width="16.28515625" style="3" bestFit="1" customWidth="1"/>
    <col min="9" max="9" width="17" style="3" bestFit="1" customWidth="1"/>
    <col min="10" max="10" width="16.5703125" bestFit="1" customWidth="1"/>
    <col min="11" max="11" width="13.5703125" bestFit="1" customWidth="1"/>
    <col min="12" max="12" width="9.140625" bestFit="1" customWidth="1"/>
    <col min="13" max="13" width="9.140625" customWidth="1"/>
    <col min="14" max="14" width="15.140625" hidden="1" customWidth="1"/>
    <col min="15" max="15" width="14.85546875" hidden="1" customWidth="1"/>
    <col min="16" max="16" width="15.140625" hidden="1" customWidth="1"/>
    <col min="17" max="17" width="14.85546875" hidden="1" customWidth="1"/>
    <col min="18" max="18" width="20" hidden="1" customWidth="1"/>
    <col min="19" max="20" width="19.28515625" hidden="1" customWidth="1"/>
    <col min="22" max="22" width="13.5703125" bestFit="1" customWidth="1"/>
    <col min="23" max="16384" width="9.7109375" style="3"/>
  </cols>
  <sheetData>
    <row r="1" spans="1:22" ht="13.5" thickBot="1" x14ac:dyDescent="0.25">
      <c r="A1" s="142" t="s">
        <v>16</v>
      </c>
      <c r="B1" s="81" t="s">
        <v>68</v>
      </c>
      <c r="C1" s="96" t="s">
        <v>283</v>
      </c>
      <c r="D1" s="113" t="s">
        <v>318</v>
      </c>
      <c r="E1" s="113" t="s">
        <v>319</v>
      </c>
      <c r="F1" s="2" t="s">
        <v>7</v>
      </c>
      <c r="G1" s="2" t="s">
        <v>8</v>
      </c>
      <c r="H1" s="94" t="s">
        <v>89</v>
      </c>
      <c r="I1" s="94" t="s">
        <v>9</v>
      </c>
      <c r="J1" s="98" t="s">
        <v>11</v>
      </c>
      <c r="K1" s="2" t="s">
        <v>14</v>
      </c>
      <c r="L1" s="116" t="s">
        <v>67</v>
      </c>
      <c r="M1" s="128" t="s">
        <v>268</v>
      </c>
      <c r="N1" s="116" t="s">
        <v>391</v>
      </c>
      <c r="O1" s="116" t="s">
        <v>388</v>
      </c>
      <c r="P1" s="116" t="s">
        <v>390</v>
      </c>
      <c r="Q1" s="116" t="s">
        <v>389</v>
      </c>
      <c r="R1" s="111" t="s">
        <v>314</v>
      </c>
      <c r="S1" s="111" t="s">
        <v>315</v>
      </c>
      <c r="T1" s="111" t="s">
        <v>316</v>
      </c>
      <c r="U1" s="3"/>
      <c r="V1" s="3"/>
    </row>
    <row r="2" spans="1:22" ht="13.5" thickBot="1" x14ac:dyDescent="0.25">
      <c r="A2" s="142"/>
      <c r="B2" s="4"/>
      <c r="C2" s="4"/>
      <c r="D2" s="4" t="str">
        <f>ANALISES!D2</f>
        <v>19º</v>
      </c>
      <c r="E2" s="4" t="str">
        <f>ANALISES!D3</f>
        <v>23º</v>
      </c>
      <c r="F2" s="90" t="str">
        <f>ANALISES!E2</f>
        <v>Colon de Santa Fe</v>
      </c>
      <c r="G2" s="90" t="str">
        <f>ANALISES!E3</f>
        <v>Aldosivi Mar del Plata</v>
      </c>
      <c r="H2" s="95" t="str">
        <f>ANALISES!E15</f>
        <v>NÃO</v>
      </c>
      <c r="I2" s="95" t="str">
        <f>ANALISES!F15</f>
        <v>SIM</v>
      </c>
      <c r="J2" s="95" t="str">
        <f>ANALISES!J15</f>
        <v>SIM</v>
      </c>
      <c r="K2" s="99">
        <f>AVERAGE(R2:T2)</f>
        <v>8.7037037037037042</v>
      </c>
      <c r="L2" s="117">
        <f>ANALISES!M6</f>
        <v>1.6696428571428572</v>
      </c>
      <c r="M2" s="117">
        <f>ANALISES!N6</f>
        <v>2.75</v>
      </c>
      <c r="N2" s="117">
        <f>ANALISES!M9</f>
        <v>1.375</v>
      </c>
      <c r="O2" s="117">
        <f>ANALISES!N10</f>
        <v>2.4285714285714284</v>
      </c>
      <c r="P2" s="117">
        <f>ANALISES!M10</f>
        <v>0.5714285714285714</v>
      </c>
      <c r="Q2" s="117">
        <f>ANALISES!N9</f>
        <v>1.125</v>
      </c>
      <c r="R2" s="112">
        <f>ANALISES!C19</f>
        <v>7</v>
      </c>
      <c r="S2" s="112">
        <f>ANALISES!F19</f>
        <v>10.222222222222221</v>
      </c>
      <c r="T2" s="112">
        <f>ANALISES!I19</f>
        <v>8.8888888888888893</v>
      </c>
      <c r="U2" s="3"/>
      <c r="V2" s="3"/>
    </row>
    <row r="3" spans="1:22" ht="13.5" thickBot="1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3"/>
      <c r="V3" s="3"/>
    </row>
    <row r="4" spans="1:22" ht="13.5" thickBot="1" x14ac:dyDescent="0.25">
      <c r="A4" s="84" t="s">
        <v>282</v>
      </c>
      <c r="B4" s="84" t="s">
        <v>68</v>
      </c>
      <c r="C4" s="84" t="s">
        <v>130</v>
      </c>
      <c r="D4" s="113" t="s">
        <v>318</v>
      </c>
      <c r="E4" s="113" t="s">
        <v>319</v>
      </c>
      <c r="F4" s="85" t="s">
        <v>7</v>
      </c>
      <c r="G4" s="85" t="s">
        <v>8</v>
      </c>
      <c r="H4" s="94" t="s">
        <v>89</v>
      </c>
      <c r="I4" s="94" t="s">
        <v>9</v>
      </c>
      <c r="J4" s="98" t="s">
        <v>11</v>
      </c>
      <c r="K4" s="2" t="s">
        <v>14</v>
      </c>
      <c r="L4" s="116" t="s">
        <v>67</v>
      </c>
      <c r="M4" s="128" t="s">
        <v>268</v>
      </c>
      <c r="N4" s="116" t="s">
        <v>391</v>
      </c>
      <c r="O4" s="116" t="s">
        <v>388</v>
      </c>
      <c r="P4" s="116" t="s">
        <v>390</v>
      </c>
      <c r="Q4" s="116" t="s">
        <v>389</v>
      </c>
      <c r="R4" s="111" t="s">
        <v>314</v>
      </c>
      <c r="S4" s="111" t="s">
        <v>315</v>
      </c>
      <c r="T4" s="111" t="s">
        <v>316</v>
      </c>
      <c r="U4" s="3"/>
      <c r="V4" s="3"/>
    </row>
    <row r="5" spans="1:22" ht="15.75" thickBot="1" x14ac:dyDescent="0.3">
      <c r="A5" s="86">
        <v>1</v>
      </c>
      <c r="B5" s="86"/>
      <c r="C5" s="102"/>
      <c r="D5" s="102" t="s">
        <v>435</v>
      </c>
      <c r="E5" s="102" t="s">
        <v>527</v>
      </c>
      <c r="F5" s="91" t="s">
        <v>197</v>
      </c>
      <c r="G5" s="91" t="s">
        <v>214</v>
      </c>
      <c r="H5" s="114" t="s">
        <v>431</v>
      </c>
      <c r="I5" s="114" t="s">
        <v>431</v>
      </c>
      <c r="J5" s="114" t="s">
        <v>431</v>
      </c>
      <c r="K5" s="120">
        <v>13.020370370370371</v>
      </c>
      <c r="L5" s="118">
        <v>1.25</v>
      </c>
      <c r="M5" s="117"/>
      <c r="N5" s="118">
        <v>1.8333333333333333</v>
      </c>
      <c r="O5" s="118">
        <v>1.3333333333333333</v>
      </c>
      <c r="P5" s="118">
        <v>1</v>
      </c>
      <c r="Q5" s="118">
        <v>1.3333333333333333</v>
      </c>
      <c r="R5" s="115">
        <v>12.2</v>
      </c>
      <c r="S5" s="115">
        <v>16.111111111111111</v>
      </c>
      <c r="T5" s="115">
        <v>10.75</v>
      </c>
      <c r="V5" s="3"/>
    </row>
    <row r="6" spans="1:22" ht="15.75" thickBot="1" x14ac:dyDescent="0.3">
      <c r="A6" s="86">
        <v>2</v>
      </c>
      <c r="B6" s="86"/>
      <c r="C6" s="102"/>
      <c r="D6" s="102" t="s">
        <v>436</v>
      </c>
      <c r="E6" s="102" t="s">
        <v>432</v>
      </c>
      <c r="F6" s="91" t="s">
        <v>491</v>
      </c>
      <c r="G6" s="91" t="s">
        <v>414</v>
      </c>
      <c r="H6" s="114" t="s">
        <v>431</v>
      </c>
      <c r="I6" s="114" t="s">
        <v>431</v>
      </c>
      <c r="J6" s="114" t="s">
        <v>431</v>
      </c>
      <c r="K6" s="120">
        <v>8.3792735042735043</v>
      </c>
      <c r="L6" s="138">
        <v>1.0833333333333333</v>
      </c>
      <c r="M6" s="117"/>
      <c r="N6" s="118">
        <v>1.6666666666666667</v>
      </c>
      <c r="O6" s="118">
        <v>0.83333333333333337</v>
      </c>
      <c r="P6" s="118">
        <v>2.5</v>
      </c>
      <c r="Q6" s="118">
        <v>1</v>
      </c>
      <c r="R6" s="115">
        <v>4.666666666666667</v>
      </c>
      <c r="S6" s="115">
        <v>10.625</v>
      </c>
      <c r="T6" s="115">
        <v>9.8461538461538467</v>
      </c>
      <c r="V6" s="3"/>
    </row>
    <row r="7" spans="1:22" ht="15.75" thickBot="1" x14ac:dyDescent="0.3">
      <c r="A7" s="86">
        <v>3</v>
      </c>
      <c r="B7" s="86"/>
      <c r="C7" s="102"/>
      <c r="D7" s="102" t="s">
        <v>441</v>
      </c>
      <c r="E7" s="102" t="s">
        <v>528</v>
      </c>
      <c r="F7" s="91" t="s">
        <v>409</v>
      </c>
      <c r="G7" s="91" t="s">
        <v>492</v>
      </c>
      <c r="H7" s="114" t="s">
        <v>431</v>
      </c>
      <c r="I7" s="114" t="s">
        <v>431</v>
      </c>
      <c r="J7" s="114" t="s">
        <v>431</v>
      </c>
      <c r="K7" s="120">
        <v>12.361471861471861</v>
      </c>
      <c r="L7" s="138">
        <v>1.3333333333333335</v>
      </c>
      <c r="M7" s="117"/>
      <c r="N7" s="118">
        <v>1.3333333333333333</v>
      </c>
      <c r="O7" s="118">
        <v>2</v>
      </c>
      <c r="P7" s="118">
        <v>0.16666666666666666</v>
      </c>
      <c r="Q7" s="118">
        <v>1.3333333333333333</v>
      </c>
      <c r="R7" s="115">
        <v>14.5</v>
      </c>
      <c r="S7" s="115">
        <v>10.857142857142858</v>
      </c>
      <c r="T7" s="115">
        <v>11.727272727272727</v>
      </c>
      <c r="V7" s="3"/>
    </row>
    <row r="8" spans="1:22" ht="15.75" thickBot="1" x14ac:dyDescent="0.3">
      <c r="A8" s="86">
        <v>4</v>
      </c>
      <c r="B8" s="86"/>
      <c r="C8" s="102"/>
      <c r="D8" s="102" t="s">
        <v>529</v>
      </c>
      <c r="E8" s="102" t="s">
        <v>439</v>
      </c>
      <c r="F8" s="91" t="s">
        <v>217</v>
      </c>
      <c r="G8" s="91" t="s">
        <v>210</v>
      </c>
      <c r="H8" s="114" t="s">
        <v>431</v>
      </c>
      <c r="I8" s="114" t="s">
        <v>431</v>
      </c>
      <c r="J8" s="114" t="s">
        <v>431</v>
      </c>
      <c r="K8" s="120">
        <v>9.5722222222222211</v>
      </c>
      <c r="L8" s="138">
        <v>1.25</v>
      </c>
      <c r="M8" s="117"/>
      <c r="N8" s="118">
        <v>0.66666666666666663</v>
      </c>
      <c r="O8" s="118">
        <v>1.8333333333333333</v>
      </c>
      <c r="P8" s="118">
        <v>1</v>
      </c>
      <c r="Q8" s="118">
        <v>1.6666666666666667</v>
      </c>
      <c r="R8" s="115">
        <v>7.25</v>
      </c>
      <c r="S8" s="115">
        <v>10.666666666666666</v>
      </c>
      <c r="T8" s="115">
        <v>10.8</v>
      </c>
      <c r="V8" s="3"/>
    </row>
    <row r="9" spans="1:22" ht="15.75" thickBot="1" x14ac:dyDescent="0.3">
      <c r="A9" s="86">
        <v>5</v>
      </c>
      <c r="B9" s="86"/>
      <c r="C9" s="102"/>
      <c r="D9" s="102" t="s">
        <v>437</v>
      </c>
      <c r="E9" s="102" t="s">
        <v>438</v>
      </c>
      <c r="F9" s="91" t="s">
        <v>411</v>
      </c>
      <c r="G9" s="91" t="s">
        <v>493</v>
      </c>
      <c r="H9" s="114" t="s">
        <v>431</v>
      </c>
      <c r="I9" s="114" t="s">
        <v>431</v>
      </c>
      <c r="J9" s="114" t="s">
        <v>431</v>
      </c>
      <c r="K9" s="120">
        <v>10.577777777777778</v>
      </c>
      <c r="L9" s="118">
        <v>1.0833333333333335</v>
      </c>
      <c r="M9" s="117"/>
      <c r="N9" s="118">
        <v>1.5</v>
      </c>
      <c r="O9" s="118">
        <v>1.1666666666666667</v>
      </c>
      <c r="P9" s="118">
        <v>1.3333333333333333</v>
      </c>
      <c r="Q9" s="118">
        <v>1.5</v>
      </c>
      <c r="R9" s="115">
        <v>8.8333333333333321</v>
      </c>
      <c r="S9" s="115">
        <v>12.100000000000001</v>
      </c>
      <c r="T9" s="115">
        <v>10.8</v>
      </c>
      <c r="V9" s="3"/>
    </row>
    <row r="10" spans="1:22" ht="15.75" thickBot="1" x14ac:dyDescent="0.3">
      <c r="A10" s="86">
        <v>6</v>
      </c>
      <c r="B10" s="86"/>
      <c r="C10" s="102"/>
      <c r="D10" s="102" t="s">
        <v>532</v>
      </c>
      <c r="E10" s="102" t="s">
        <v>437</v>
      </c>
      <c r="F10" s="91" t="s">
        <v>354</v>
      </c>
      <c r="G10" s="91" t="s">
        <v>502</v>
      </c>
      <c r="H10" s="114" t="s">
        <v>431</v>
      </c>
      <c r="I10" s="114" t="s">
        <v>431</v>
      </c>
      <c r="J10" s="114" t="s">
        <v>431</v>
      </c>
      <c r="K10" s="120">
        <v>9.3333333333333339</v>
      </c>
      <c r="L10" s="118">
        <v>1.0499999999999998</v>
      </c>
      <c r="M10" s="117"/>
      <c r="N10" s="118">
        <v>1</v>
      </c>
      <c r="O10" s="118">
        <v>1.2</v>
      </c>
      <c r="P10" s="118">
        <v>1.8</v>
      </c>
      <c r="Q10" s="118">
        <v>1.1000000000000001</v>
      </c>
      <c r="R10" s="115">
        <v>8</v>
      </c>
      <c r="S10" s="115">
        <v>10.199999999999999</v>
      </c>
      <c r="T10" s="115">
        <v>9.8000000000000007</v>
      </c>
      <c r="V10" s="3"/>
    </row>
    <row r="11" spans="1:22" ht="15.75" thickBot="1" x14ac:dyDescent="0.3">
      <c r="A11" s="86">
        <v>7</v>
      </c>
      <c r="B11" s="86"/>
      <c r="C11" s="102"/>
      <c r="D11" s="102" t="s">
        <v>438</v>
      </c>
      <c r="E11" s="102" t="s">
        <v>433</v>
      </c>
      <c r="F11" s="91" t="s">
        <v>503</v>
      </c>
      <c r="G11" s="91" t="s">
        <v>111</v>
      </c>
      <c r="H11" s="114" t="s">
        <v>431</v>
      </c>
      <c r="I11" s="114" t="s">
        <v>431</v>
      </c>
      <c r="J11" s="114" t="s">
        <v>431</v>
      </c>
      <c r="K11" s="120">
        <v>10.225925925925926</v>
      </c>
      <c r="L11" s="118">
        <v>2.1666666666666665</v>
      </c>
      <c r="M11" s="117"/>
      <c r="N11" s="118">
        <v>3.1666666666666665</v>
      </c>
      <c r="O11" s="118">
        <v>2</v>
      </c>
      <c r="P11" s="118">
        <v>3</v>
      </c>
      <c r="Q11" s="118">
        <v>0.83333333333333337</v>
      </c>
      <c r="R11" s="115">
        <v>7.5</v>
      </c>
      <c r="S11" s="115">
        <v>12.777777777777779</v>
      </c>
      <c r="T11" s="115">
        <v>10.4</v>
      </c>
      <c r="V11" s="3"/>
    </row>
    <row r="12" spans="1:22" ht="15.75" thickBot="1" x14ac:dyDescent="0.3">
      <c r="A12" s="86">
        <v>8</v>
      </c>
      <c r="B12" s="86"/>
      <c r="C12" s="102"/>
      <c r="D12" s="102" t="s">
        <v>432</v>
      </c>
      <c r="E12" s="102" t="s">
        <v>532</v>
      </c>
      <c r="F12" s="91" t="s">
        <v>352</v>
      </c>
      <c r="G12" s="91" t="s">
        <v>505</v>
      </c>
      <c r="H12" s="114" t="s">
        <v>431</v>
      </c>
      <c r="I12" s="114" t="s">
        <v>431</v>
      </c>
      <c r="J12" s="114" t="s">
        <v>431</v>
      </c>
      <c r="K12" s="120">
        <v>8.1111111111111125</v>
      </c>
      <c r="L12" s="118">
        <v>1.5</v>
      </c>
      <c r="M12" s="117"/>
      <c r="N12" s="118">
        <v>2.6</v>
      </c>
      <c r="O12" s="118">
        <v>2.1666666666666665</v>
      </c>
      <c r="P12" s="118">
        <v>0.83333333333333337</v>
      </c>
      <c r="Q12" s="118">
        <v>1.2</v>
      </c>
      <c r="R12" s="115">
        <v>6.5</v>
      </c>
      <c r="S12" s="115">
        <v>8.5</v>
      </c>
      <c r="T12" s="115">
        <v>9.3333333333333339</v>
      </c>
      <c r="V12" s="3"/>
    </row>
    <row r="13" spans="1:22" ht="15.75" thickBot="1" x14ac:dyDescent="0.3">
      <c r="A13" s="86">
        <v>9</v>
      </c>
      <c r="B13" s="86"/>
      <c r="C13" s="102"/>
      <c r="D13" s="102" t="s">
        <v>440</v>
      </c>
      <c r="E13" s="102" t="s">
        <v>533</v>
      </c>
      <c r="F13" s="91" t="s">
        <v>510</v>
      </c>
      <c r="G13" s="91" t="s">
        <v>416</v>
      </c>
      <c r="H13" s="114" t="s">
        <v>431</v>
      </c>
      <c r="I13" s="114" t="s">
        <v>431</v>
      </c>
      <c r="J13" s="114" t="s">
        <v>431</v>
      </c>
      <c r="K13" s="120">
        <v>9.3472222222222232</v>
      </c>
      <c r="L13" s="118">
        <v>1.75</v>
      </c>
      <c r="M13" s="117"/>
      <c r="N13" s="118">
        <v>2.3333333333333335</v>
      </c>
      <c r="O13" s="118">
        <v>3.6666666666666665</v>
      </c>
      <c r="P13" s="118">
        <v>0.66666666666666663</v>
      </c>
      <c r="Q13" s="118">
        <v>2.6666666666666665</v>
      </c>
      <c r="R13" s="115">
        <v>8</v>
      </c>
      <c r="S13" s="115">
        <v>8.6666666666666679</v>
      </c>
      <c r="T13" s="115">
        <v>11.375</v>
      </c>
      <c r="V13" s="3"/>
    </row>
    <row r="14" spans="1:22" ht="15.75" thickBot="1" x14ac:dyDescent="0.3">
      <c r="A14" s="86">
        <v>10</v>
      </c>
      <c r="B14" s="86"/>
      <c r="C14" s="102"/>
      <c r="D14" s="102" t="s">
        <v>537</v>
      </c>
      <c r="E14" s="102" t="s">
        <v>535</v>
      </c>
      <c r="F14" s="91" t="s">
        <v>208</v>
      </c>
      <c r="G14" s="91" t="s">
        <v>536</v>
      </c>
      <c r="H14" s="114" t="s">
        <v>431</v>
      </c>
      <c r="I14" s="114" t="s">
        <v>431</v>
      </c>
      <c r="J14" s="114" t="s">
        <v>431</v>
      </c>
      <c r="K14" s="120">
        <v>9.1904761904761898</v>
      </c>
      <c r="L14" s="118">
        <v>1.5714285714285714</v>
      </c>
      <c r="M14" s="117"/>
      <c r="N14" s="118">
        <v>2</v>
      </c>
      <c r="O14" s="118">
        <v>1.4285714285714286</v>
      </c>
      <c r="P14" s="118">
        <v>1</v>
      </c>
      <c r="Q14" s="118">
        <v>2</v>
      </c>
      <c r="R14" s="115">
        <v>8</v>
      </c>
      <c r="S14" s="115">
        <v>10.285714285714285</v>
      </c>
      <c r="T14" s="115">
        <v>9.2857142857142865</v>
      </c>
      <c r="V14" s="3"/>
    </row>
    <row r="15" spans="1:22" ht="15.75" thickBot="1" x14ac:dyDescent="0.3">
      <c r="A15" s="86">
        <v>11</v>
      </c>
      <c r="B15" s="86"/>
      <c r="C15" s="102"/>
      <c r="D15" s="102" t="s">
        <v>441</v>
      </c>
      <c r="E15" s="102" t="s">
        <v>440</v>
      </c>
      <c r="F15" s="91" t="s">
        <v>364</v>
      </c>
      <c r="G15" s="91" t="s">
        <v>417</v>
      </c>
      <c r="H15" s="114" t="s">
        <v>431</v>
      </c>
      <c r="I15" s="114" t="s">
        <v>431</v>
      </c>
      <c r="J15" s="114" t="s">
        <v>431</v>
      </c>
      <c r="K15" s="120">
        <v>9.2916666666666661</v>
      </c>
      <c r="L15" s="118">
        <v>1.8571428571428572</v>
      </c>
      <c r="M15" s="117"/>
      <c r="N15" s="118">
        <v>1</v>
      </c>
      <c r="O15" s="118">
        <v>3</v>
      </c>
      <c r="P15" s="118">
        <v>0.8571428571428571</v>
      </c>
      <c r="Q15" s="118">
        <v>2.5714285714285716</v>
      </c>
      <c r="R15" s="115">
        <v>8.5</v>
      </c>
      <c r="S15" s="115">
        <v>9.875</v>
      </c>
      <c r="T15" s="115">
        <v>9.5</v>
      </c>
      <c r="V15" s="3"/>
    </row>
    <row r="16" spans="1:22" ht="15.75" thickBot="1" x14ac:dyDescent="0.3">
      <c r="A16" s="86">
        <v>12</v>
      </c>
      <c r="B16" s="86"/>
      <c r="C16" s="102"/>
      <c r="D16" s="102" t="s">
        <v>436</v>
      </c>
      <c r="E16" s="102" t="s">
        <v>432</v>
      </c>
      <c r="F16" s="91" t="s">
        <v>338</v>
      </c>
      <c r="G16" s="91" t="s">
        <v>339</v>
      </c>
      <c r="H16" s="114" t="s">
        <v>431</v>
      </c>
      <c r="I16" s="114" t="s">
        <v>431</v>
      </c>
      <c r="J16" s="114" t="s">
        <v>431</v>
      </c>
      <c r="K16" s="120">
        <v>11.140740740740739</v>
      </c>
      <c r="L16" s="118">
        <v>1</v>
      </c>
      <c r="M16" s="117"/>
      <c r="N16" s="118">
        <v>1</v>
      </c>
      <c r="O16" s="118">
        <v>1.1666666666666667</v>
      </c>
      <c r="P16" s="118">
        <v>2.5</v>
      </c>
      <c r="Q16" s="118">
        <v>1</v>
      </c>
      <c r="R16" s="115">
        <v>13.2</v>
      </c>
      <c r="S16" s="115">
        <v>10.888888888888889</v>
      </c>
      <c r="T16" s="115">
        <v>9.3333333333333321</v>
      </c>
      <c r="V16" s="3"/>
    </row>
    <row r="17" spans="1:22" ht="15.75" thickBot="1" x14ac:dyDescent="0.3">
      <c r="A17" s="86">
        <v>13</v>
      </c>
      <c r="B17" s="86"/>
      <c r="C17" s="102"/>
      <c r="D17" s="102" t="s">
        <v>433</v>
      </c>
      <c r="E17" s="102" t="s">
        <v>441</v>
      </c>
      <c r="F17" s="91" t="s">
        <v>118</v>
      </c>
      <c r="G17" s="91" t="s">
        <v>517</v>
      </c>
      <c r="H17" s="114" t="s">
        <v>431</v>
      </c>
      <c r="I17" s="114" t="s">
        <v>431</v>
      </c>
      <c r="J17" s="114" t="s">
        <v>431</v>
      </c>
      <c r="K17" s="120">
        <v>10.351851851851853</v>
      </c>
      <c r="L17" s="118">
        <v>1.21875</v>
      </c>
      <c r="M17" s="117"/>
      <c r="N17" s="118">
        <v>2.125</v>
      </c>
      <c r="O17" s="118">
        <v>1.375</v>
      </c>
      <c r="P17" s="118">
        <v>0.8125</v>
      </c>
      <c r="Q17" s="118">
        <v>0.875</v>
      </c>
      <c r="R17" s="115">
        <v>9.5</v>
      </c>
      <c r="S17" s="115">
        <v>10.222222222222221</v>
      </c>
      <c r="T17" s="115">
        <v>11.333333333333334</v>
      </c>
      <c r="V17" s="3"/>
    </row>
    <row r="18" spans="1:22" ht="15.75" thickBot="1" x14ac:dyDescent="0.3">
      <c r="A18" s="86">
        <v>14</v>
      </c>
      <c r="B18" s="86"/>
      <c r="C18" s="102"/>
      <c r="D18" s="102" t="s">
        <v>435</v>
      </c>
      <c r="E18" s="102" t="s">
        <v>433</v>
      </c>
      <c r="F18" s="91" t="s">
        <v>518</v>
      </c>
      <c r="G18" s="91" t="s">
        <v>519</v>
      </c>
      <c r="H18" s="114" t="s">
        <v>431</v>
      </c>
      <c r="I18" s="114" t="s">
        <v>431</v>
      </c>
      <c r="J18" s="114" t="s">
        <v>431</v>
      </c>
      <c r="K18" s="120">
        <v>9.2303030303030287</v>
      </c>
      <c r="L18" s="118">
        <v>1.2</v>
      </c>
      <c r="M18" s="117"/>
      <c r="N18" s="118">
        <v>1.9333333333333333</v>
      </c>
      <c r="O18" s="118">
        <v>1.2</v>
      </c>
      <c r="P18" s="118">
        <v>1.2666666666666666</v>
      </c>
      <c r="Q18" s="118">
        <v>1.0666666666666667</v>
      </c>
      <c r="R18" s="115">
        <v>9.3999999999999986</v>
      </c>
      <c r="S18" s="115">
        <v>9.0909090909090899</v>
      </c>
      <c r="T18" s="115">
        <v>9.1999999999999993</v>
      </c>
      <c r="V18" s="3"/>
    </row>
    <row r="19" spans="1:22" ht="15.75" thickBot="1" x14ac:dyDescent="0.3">
      <c r="A19" s="86">
        <v>15</v>
      </c>
      <c r="B19" s="86"/>
      <c r="C19" s="102"/>
      <c r="D19" s="102" t="s">
        <v>533</v>
      </c>
      <c r="E19" s="102" t="s">
        <v>441</v>
      </c>
      <c r="F19" s="91" t="s">
        <v>520</v>
      </c>
      <c r="G19" s="91" t="s">
        <v>367</v>
      </c>
      <c r="H19" s="114" t="s">
        <v>431</v>
      </c>
      <c r="I19" s="114" t="s">
        <v>431</v>
      </c>
      <c r="J19" s="114" t="s">
        <v>431</v>
      </c>
      <c r="K19" s="120">
        <v>10.137499999999999</v>
      </c>
      <c r="L19" s="118">
        <v>1.25</v>
      </c>
      <c r="M19" s="117"/>
      <c r="N19" s="118">
        <v>1.75</v>
      </c>
      <c r="O19" s="118">
        <v>1.625</v>
      </c>
      <c r="P19" s="118">
        <v>1.75</v>
      </c>
      <c r="Q19" s="118">
        <v>1.125</v>
      </c>
      <c r="R19" s="115"/>
      <c r="S19" s="115">
        <v>10.875</v>
      </c>
      <c r="T19" s="115">
        <v>9.3999999999999986</v>
      </c>
      <c r="V19" s="3"/>
    </row>
    <row r="20" spans="1:22" ht="15.75" thickBot="1" x14ac:dyDescent="0.3">
      <c r="A20" s="86">
        <v>16</v>
      </c>
      <c r="B20" s="86"/>
      <c r="C20" s="102"/>
      <c r="D20" s="102" t="s">
        <v>437</v>
      </c>
      <c r="E20" s="102" t="s">
        <v>545</v>
      </c>
      <c r="F20" s="91" t="s">
        <v>326</v>
      </c>
      <c r="G20" s="91" t="s">
        <v>521</v>
      </c>
      <c r="H20" s="114" t="s">
        <v>431</v>
      </c>
      <c r="I20" s="114" t="s">
        <v>431</v>
      </c>
      <c r="J20" s="114" t="s">
        <v>431</v>
      </c>
      <c r="K20" s="120">
        <v>9.8060606060606066</v>
      </c>
      <c r="L20" s="118">
        <v>1.0555555555555556</v>
      </c>
      <c r="M20" s="117"/>
      <c r="N20" s="118">
        <v>1.5555555555555556</v>
      </c>
      <c r="O20" s="118">
        <v>1.625</v>
      </c>
      <c r="P20" s="118">
        <v>1.125</v>
      </c>
      <c r="Q20" s="118">
        <v>1.2222222222222223</v>
      </c>
      <c r="R20" s="115">
        <v>9.8000000000000007</v>
      </c>
      <c r="S20" s="115">
        <v>10.8</v>
      </c>
      <c r="T20" s="115">
        <v>8.8181818181818183</v>
      </c>
      <c r="V20" s="3"/>
    </row>
    <row r="21" spans="1:22" ht="15.75" thickBot="1" x14ac:dyDescent="0.3">
      <c r="A21" s="86">
        <v>17</v>
      </c>
      <c r="B21" s="86"/>
      <c r="C21" s="102"/>
      <c r="D21" s="102" t="s">
        <v>534</v>
      </c>
      <c r="E21" s="102" t="s">
        <v>535</v>
      </c>
      <c r="F21" s="91" t="s">
        <v>419</v>
      </c>
      <c r="G21" s="91" t="s">
        <v>366</v>
      </c>
      <c r="H21" s="114" t="s">
        <v>431</v>
      </c>
      <c r="I21" s="114" t="s">
        <v>431</v>
      </c>
      <c r="J21" s="114" t="s">
        <v>431</v>
      </c>
      <c r="K21" s="120">
        <v>7.9537037037037051</v>
      </c>
      <c r="L21" s="118">
        <v>1.0833333333333333</v>
      </c>
      <c r="M21" s="117"/>
      <c r="N21" s="118">
        <v>1.8333333333333333</v>
      </c>
      <c r="O21" s="118">
        <v>1.3333333333333333</v>
      </c>
      <c r="P21" s="118">
        <v>0.83333333333333337</v>
      </c>
      <c r="Q21" s="118">
        <v>0.83333333333333337</v>
      </c>
      <c r="R21" s="115">
        <v>7.75</v>
      </c>
      <c r="S21" s="115">
        <v>7.7777777777777777</v>
      </c>
      <c r="T21" s="115">
        <v>8.3333333333333339</v>
      </c>
      <c r="V21" s="3"/>
    </row>
    <row r="22" spans="1:22" ht="15.75" thickBot="1" x14ac:dyDescent="0.3">
      <c r="A22" s="86">
        <v>18</v>
      </c>
      <c r="B22" s="86"/>
      <c r="C22" s="102"/>
      <c r="D22" s="102" t="s">
        <v>433</v>
      </c>
      <c r="E22" s="102" t="s">
        <v>432</v>
      </c>
      <c r="F22" s="91" t="s">
        <v>522</v>
      </c>
      <c r="G22" s="91" t="s">
        <v>92</v>
      </c>
      <c r="H22" s="114" t="s">
        <v>431</v>
      </c>
      <c r="I22" s="114" t="s">
        <v>431</v>
      </c>
      <c r="J22" s="114" t="s">
        <v>431</v>
      </c>
      <c r="K22" s="120">
        <v>10.199999999999999</v>
      </c>
      <c r="L22" s="118">
        <v>1.3181818181818183</v>
      </c>
      <c r="M22" s="117"/>
      <c r="N22" s="118">
        <v>2.6363636363636362</v>
      </c>
      <c r="O22" s="118">
        <v>1.4545454545454546</v>
      </c>
      <c r="P22" s="118">
        <v>1.6363636363636365</v>
      </c>
      <c r="Q22" s="118">
        <v>0.81818181818181823</v>
      </c>
      <c r="R22" s="115">
        <v>12.399999999999999</v>
      </c>
      <c r="S22" s="115">
        <v>9.6999999999999993</v>
      </c>
      <c r="T22" s="115">
        <v>8.5</v>
      </c>
      <c r="V22" s="3"/>
    </row>
    <row r="23" spans="1:22" ht="15.75" thickBot="1" x14ac:dyDescent="0.3">
      <c r="A23" s="86">
        <v>19</v>
      </c>
      <c r="B23" s="86"/>
      <c r="C23" s="102"/>
      <c r="D23" s="102" t="s">
        <v>437</v>
      </c>
      <c r="E23" s="102" t="s">
        <v>440</v>
      </c>
      <c r="F23" s="91" t="s">
        <v>554</v>
      </c>
      <c r="G23" s="91" t="s">
        <v>553</v>
      </c>
      <c r="H23" s="114" t="s">
        <v>431</v>
      </c>
      <c r="I23" s="114" t="s">
        <v>431</v>
      </c>
      <c r="J23" s="114" t="s">
        <v>431</v>
      </c>
      <c r="K23" s="120">
        <v>10.011904761904761</v>
      </c>
      <c r="L23" s="118">
        <v>1.7</v>
      </c>
      <c r="M23" s="118">
        <v>3.6833333333333336</v>
      </c>
      <c r="N23" s="118">
        <v>1.6</v>
      </c>
      <c r="O23" s="118">
        <v>3.5</v>
      </c>
      <c r="P23" s="118">
        <v>0.66666666666666663</v>
      </c>
      <c r="Q23" s="118">
        <v>1.6</v>
      </c>
      <c r="R23" s="115">
        <v>10</v>
      </c>
      <c r="S23" s="115">
        <v>10.285714285714285</v>
      </c>
      <c r="T23" s="115">
        <v>9.75</v>
      </c>
    </row>
    <row r="24" spans="1:22" ht="15.75" thickBot="1" x14ac:dyDescent="0.3">
      <c r="A24" s="86">
        <v>20</v>
      </c>
      <c r="B24" s="86"/>
      <c r="C24" s="102"/>
      <c r="D24" s="102" t="s">
        <v>527</v>
      </c>
      <c r="E24" s="102" t="s">
        <v>433</v>
      </c>
      <c r="F24" s="91" t="s">
        <v>115</v>
      </c>
      <c r="G24" s="91" t="s">
        <v>555</v>
      </c>
      <c r="H24" s="114" t="s">
        <v>431</v>
      </c>
      <c r="I24" s="114" t="s">
        <v>431</v>
      </c>
      <c r="J24" s="114" t="s">
        <v>431</v>
      </c>
      <c r="K24" s="120">
        <v>10.180555555555555</v>
      </c>
      <c r="L24" s="118">
        <v>1.3333333333333333</v>
      </c>
      <c r="M24" s="118">
        <v>2.9166666666666665</v>
      </c>
      <c r="N24" s="118">
        <v>1.3333333333333333</v>
      </c>
      <c r="O24" s="118">
        <v>1.8333333333333333</v>
      </c>
      <c r="P24" s="118">
        <v>1.1666666666666667</v>
      </c>
      <c r="Q24" s="118">
        <v>1.5</v>
      </c>
      <c r="R24" s="115">
        <v>11.166666666666668</v>
      </c>
      <c r="S24" s="115">
        <v>9.375</v>
      </c>
      <c r="T24" s="115">
        <v>10</v>
      </c>
    </row>
    <row r="25" spans="1:22" ht="15.75" thickBot="1" x14ac:dyDescent="0.3">
      <c r="A25" s="86">
        <v>21</v>
      </c>
      <c r="B25" s="86"/>
      <c r="C25" s="102"/>
      <c r="D25" s="102" t="s">
        <v>432</v>
      </c>
      <c r="E25" s="102" t="s">
        <v>557</v>
      </c>
      <c r="F25" s="91" t="s">
        <v>171</v>
      </c>
      <c r="G25" s="91" t="s">
        <v>556</v>
      </c>
      <c r="H25" s="114" t="s">
        <v>431</v>
      </c>
      <c r="I25" s="114" t="s">
        <v>431</v>
      </c>
      <c r="J25" s="114" t="s">
        <v>431</v>
      </c>
      <c r="K25" s="120">
        <v>8.4629629629629637</v>
      </c>
      <c r="L25" s="138">
        <v>0.98333333333333339</v>
      </c>
      <c r="M25" s="118">
        <v>2.6333333333333329</v>
      </c>
      <c r="N25" s="118">
        <v>1.8333333333333333</v>
      </c>
      <c r="O25" s="118">
        <v>1.4</v>
      </c>
      <c r="P25" s="118">
        <v>1.2</v>
      </c>
      <c r="Q25" s="118">
        <v>0.83333333333333337</v>
      </c>
      <c r="R25" s="115">
        <v>7</v>
      </c>
      <c r="S25" s="115">
        <v>9.5</v>
      </c>
      <c r="T25" s="115">
        <v>8.8888888888888893</v>
      </c>
    </row>
    <row r="26" spans="1:22" ht="15.75" thickBot="1" x14ac:dyDescent="0.3">
      <c r="A26" s="86">
        <v>22</v>
      </c>
      <c r="B26" s="86"/>
      <c r="C26" s="102"/>
      <c r="D26" s="102" t="s">
        <v>552</v>
      </c>
      <c r="E26" s="102" t="s">
        <v>557</v>
      </c>
      <c r="F26" s="91" t="s">
        <v>558</v>
      </c>
      <c r="G26" s="91" t="s">
        <v>100</v>
      </c>
      <c r="H26" s="114" t="s">
        <v>431</v>
      </c>
      <c r="I26" s="114" t="s">
        <v>431</v>
      </c>
      <c r="J26" s="114" t="s">
        <v>431</v>
      </c>
      <c r="K26" s="120">
        <v>10.884920634920634</v>
      </c>
      <c r="L26" s="138">
        <v>0.78571428571428559</v>
      </c>
      <c r="M26" s="118">
        <v>2.5714285714285712</v>
      </c>
      <c r="N26" s="118">
        <v>0.8571428571428571</v>
      </c>
      <c r="O26" s="118">
        <v>1.8571428571428572</v>
      </c>
      <c r="P26" s="118">
        <v>1.1428571428571428</v>
      </c>
      <c r="Q26" s="118">
        <v>1.2857142857142858</v>
      </c>
      <c r="R26" s="115">
        <v>11.333333333333332</v>
      </c>
      <c r="S26" s="115">
        <v>10.75</v>
      </c>
      <c r="T26" s="115">
        <v>10.571428571428571</v>
      </c>
    </row>
    <row r="27" spans="1:22" x14ac:dyDescent="0.25">
      <c r="A27" s="86">
        <v>23</v>
      </c>
      <c r="B27" s="86"/>
      <c r="C27" s="102"/>
      <c r="D27" s="102" t="s">
        <v>527</v>
      </c>
      <c r="E27" s="102" t="s">
        <v>1415</v>
      </c>
      <c r="F27" s="91" t="s">
        <v>170</v>
      </c>
      <c r="G27" s="91" t="s">
        <v>564</v>
      </c>
      <c r="H27" s="114" t="s">
        <v>1416</v>
      </c>
      <c r="I27" s="114" t="s">
        <v>431</v>
      </c>
      <c r="J27" s="114" t="s">
        <v>431</v>
      </c>
      <c r="K27" s="120">
        <v>8.7037037037037042</v>
      </c>
      <c r="L27" s="118">
        <v>1.6696428571428572</v>
      </c>
      <c r="M27" s="118">
        <v>2.75</v>
      </c>
      <c r="N27" s="118">
        <v>1.375</v>
      </c>
      <c r="O27" s="118">
        <v>2.4285714285714284</v>
      </c>
      <c r="P27" s="118">
        <v>0.5714285714285714</v>
      </c>
      <c r="Q27" s="118">
        <v>1.125</v>
      </c>
      <c r="R27" s="115">
        <v>7</v>
      </c>
      <c r="S27" s="115">
        <v>10.222222222222221</v>
      </c>
      <c r="T27" s="115">
        <v>8.8888888888888893</v>
      </c>
    </row>
  </sheetData>
  <mergeCells count="1">
    <mergeCell ref="A1:A2"/>
  </mergeCells>
  <conditionalFormatting sqref="H2:J2 L2:T2 H5:J27 L5:T27">
    <cfRule type="containsText" dxfId="35" priority="30" operator="containsText" text="SIM">
      <formula>NOT(ISERROR(SEARCH("SIM",H2)))</formula>
    </cfRule>
  </conditionalFormatting>
  <conditionalFormatting sqref="K2 K5:K27">
    <cfRule type="containsText" dxfId="34" priority="16" operator="containsText" text="OVER">
      <formula>NOT(ISERROR(SEARCH("OVER",K2)))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L29"/>
  <sheetViews>
    <sheetView showGridLines="0" zoomScaleNormal="100" workbookViewId="0">
      <selection activeCell="I3" sqref="I3"/>
    </sheetView>
  </sheetViews>
  <sheetFormatPr defaultColWidth="26.7109375" defaultRowHeight="15" x14ac:dyDescent="0.25"/>
  <cols>
    <col min="1" max="1" width="12.42578125" style="89" bestFit="1" customWidth="1"/>
    <col min="2" max="2" width="10.7109375" style="89" bestFit="1" customWidth="1"/>
    <col min="3" max="4" width="26.7109375" style="89"/>
    <col min="5" max="5" width="10.7109375" style="58" customWidth="1"/>
    <col min="6" max="7" width="10.7109375" style="60" customWidth="1"/>
    <col min="8" max="8" width="12" style="60" bestFit="1" customWidth="1"/>
    <col min="9" max="11" width="12.7109375" style="89" customWidth="1"/>
    <col min="12" max="12" width="13.42578125" style="89" bestFit="1" customWidth="1"/>
    <col min="13" max="16384" width="26.7109375" style="89"/>
  </cols>
  <sheetData>
    <row r="1" spans="1:12" ht="15.75" customHeight="1" thickBot="1" x14ac:dyDescent="0.3">
      <c r="A1" s="160" t="s">
        <v>543</v>
      </c>
      <c r="B1" s="161"/>
      <c r="C1" s="161"/>
      <c r="D1" s="161"/>
      <c r="E1" s="161"/>
      <c r="F1" s="161"/>
      <c r="G1" s="162"/>
      <c r="H1" s="129" t="s">
        <v>544</v>
      </c>
      <c r="I1" s="94" t="s">
        <v>550</v>
      </c>
      <c r="J1" s="94" t="s">
        <v>89</v>
      </c>
      <c r="K1" s="127" t="s">
        <v>530</v>
      </c>
      <c r="L1" s="127" t="s">
        <v>14</v>
      </c>
    </row>
    <row r="2" spans="1:12" ht="15.75" customHeight="1" thickBot="1" x14ac:dyDescent="0.3">
      <c r="A2" s="163"/>
      <c r="B2" s="164"/>
      <c r="C2" s="164"/>
      <c r="D2" s="164"/>
      <c r="E2" s="164"/>
      <c r="F2" s="164"/>
      <c r="G2" s="165"/>
      <c r="H2" s="129" t="s">
        <v>541</v>
      </c>
      <c r="I2" s="131">
        <f>100%-(COUNTIF(E5:E1048576,0)/COUNT(E5:E1048576))</f>
        <v>0.75</v>
      </c>
      <c r="J2" s="131">
        <f>100%-(COUNTIF(F5:F1048576,0)/COUNT(F5:F1048576))</f>
        <v>0.65</v>
      </c>
      <c r="K2" s="131">
        <f>100%-(COUNTIF(G5:G1048576,0)/COUNT(G5:G1048576))</f>
        <v>0.65</v>
      </c>
      <c r="L2" s="131">
        <f>100%-(COUNTIF(H5:H1048576,0)/COUNT(H5:H1048576))</f>
        <v>0.65</v>
      </c>
    </row>
    <row r="3" spans="1:12" ht="15.75" customHeight="1" thickBot="1" x14ac:dyDescent="0.3">
      <c r="A3" s="166"/>
      <c r="B3" s="167"/>
      <c r="C3" s="167"/>
      <c r="D3" s="167"/>
      <c r="E3" s="167"/>
      <c r="F3" s="167"/>
      <c r="G3" s="168"/>
      <c r="H3" s="129" t="s">
        <v>542</v>
      </c>
      <c r="I3" s="133">
        <f>1/I2</f>
        <v>1.3333333333333333</v>
      </c>
      <c r="J3" s="133">
        <f>1/J2</f>
        <v>1.5384615384615383</v>
      </c>
      <c r="K3" s="133">
        <f>1/K2</f>
        <v>1.5384615384615383</v>
      </c>
      <c r="L3" s="133">
        <f>1/L2</f>
        <v>1.5384615384615383</v>
      </c>
    </row>
    <row r="4" spans="1:12" ht="15.75" thickBot="1" x14ac:dyDescent="0.3">
      <c r="A4" s="126" t="s">
        <v>68</v>
      </c>
      <c r="B4" s="126" t="s">
        <v>551</v>
      </c>
      <c r="C4" s="126" t="s">
        <v>7</v>
      </c>
      <c r="D4" s="126" t="s">
        <v>8</v>
      </c>
      <c r="E4" s="128" t="s">
        <v>9</v>
      </c>
      <c r="F4" s="94" t="s">
        <v>89</v>
      </c>
      <c r="G4" s="127" t="s">
        <v>530</v>
      </c>
      <c r="H4" s="127" t="s">
        <v>14</v>
      </c>
      <c r="I4" s="127" t="s">
        <v>421</v>
      </c>
      <c r="J4" s="127" t="s">
        <v>422</v>
      </c>
      <c r="K4" s="127" t="s">
        <v>423</v>
      </c>
      <c r="L4" s="127" t="s">
        <v>424</v>
      </c>
    </row>
    <row r="5" spans="1:12" ht="15.75" hidden="1" customHeight="1" thickBot="1" x14ac:dyDescent="0.3">
      <c r="A5" s="4" t="s">
        <v>434</v>
      </c>
      <c r="B5" s="130">
        <v>43792</v>
      </c>
      <c r="C5" s="4" t="s">
        <v>197</v>
      </c>
      <c r="D5" s="4" t="s">
        <v>214</v>
      </c>
      <c r="E5" s="135">
        <v>1.35</v>
      </c>
      <c r="F5" s="121">
        <v>1.61</v>
      </c>
      <c r="G5" s="121">
        <v>2.1</v>
      </c>
      <c r="H5" s="121">
        <v>2.1</v>
      </c>
      <c r="I5" s="123">
        <v>25</v>
      </c>
      <c r="J5" s="123">
        <v>100</v>
      </c>
      <c r="K5" s="123">
        <f>SUM(E5*I5,F5*I5,G5*I5,H5*I5)</f>
        <v>179</v>
      </c>
      <c r="L5" s="124">
        <f t="shared" ref="L5:L14" si="0">K5-J5</f>
        <v>79</v>
      </c>
    </row>
    <row r="6" spans="1:12" ht="15.75" hidden="1" customHeight="1" thickBot="1" x14ac:dyDescent="0.3">
      <c r="A6" s="4" t="s">
        <v>434</v>
      </c>
      <c r="B6" s="130">
        <v>43792</v>
      </c>
      <c r="C6" s="4" t="s">
        <v>491</v>
      </c>
      <c r="D6" s="4" t="s">
        <v>414</v>
      </c>
      <c r="E6" s="136">
        <v>0</v>
      </c>
      <c r="F6" s="121">
        <v>1.95</v>
      </c>
      <c r="G6" s="121">
        <v>2.2999999999999998</v>
      </c>
      <c r="H6" s="121">
        <v>2.2000000000000002</v>
      </c>
      <c r="I6" s="123">
        <v>25</v>
      </c>
      <c r="J6" s="123">
        <v>100</v>
      </c>
      <c r="K6" s="123">
        <f t="shared" ref="K6:K29" si="1">SUM(E6*I6,F6*I6,G6*I6,H6*I6)</f>
        <v>161.25</v>
      </c>
      <c r="L6" s="124">
        <f t="shared" si="0"/>
        <v>61.25</v>
      </c>
    </row>
    <row r="7" spans="1:12" ht="15.75" hidden="1" customHeight="1" thickBot="1" x14ac:dyDescent="0.3">
      <c r="A7" s="4" t="s">
        <v>434</v>
      </c>
      <c r="B7" s="130">
        <v>43792</v>
      </c>
      <c r="C7" s="4" t="s">
        <v>409</v>
      </c>
      <c r="D7" s="4" t="s">
        <v>492</v>
      </c>
      <c r="E7" s="136">
        <v>0</v>
      </c>
      <c r="F7" s="122">
        <v>0</v>
      </c>
      <c r="G7" s="122">
        <v>0</v>
      </c>
      <c r="H7" s="121">
        <v>2</v>
      </c>
      <c r="I7" s="123">
        <v>25</v>
      </c>
      <c r="J7" s="123">
        <v>100</v>
      </c>
      <c r="K7" s="123">
        <f t="shared" si="1"/>
        <v>50</v>
      </c>
      <c r="L7" s="124">
        <f t="shared" si="0"/>
        <v>-50</v>
      </c>
    </row>
    <row r="8" spans="1:12" ht="15.75" hidden="1" customHeight="1" thickBot="1" x14ac:dyDescent="0.3">
      <c r="A8" s="4" t="s">
        <v>434</v>
      </c>
      <c r="B8" s="130">
        <v>43792</v>
      </c>
      <c r="C8" s="4" t="s">
        <v>217</v>
      </c>
      <c r="D8" s="4" t="s">
        <v>210</v>
      </c>
      <c r="E8" s="136">
        <v>0</v>
      </c>
      <c r="F8" s="122">
        <v>0</v>
      </c>
      <c r="G8" s="121">
        <v>2.1</v>
      </c>
      <c r="H8" s="121">
        <v>1.9</v>
      </c>
      <c r="I8" s="123">
        <v>25</v>
      </c>
      <c r="J8" s="123">
        <v>100</v>
      </c>
      <c r="K8" s="123">
        <f t="shared" si="1"/>
        <v>100</v>
      </c>
      <c r="L8" s="124">
        <f t="shared" si="0"/>
        <v>0</v>
      </c>
    </row>
    <row r="9" spans="1:12" ht="15.75" hidden="1" customHeight="1" thickBot="1" x14ac:dyDescent="0.3">
      <c r="A9" s="4" t="s">
        <v>531</v>
      </c>
      <c r="B9" s="130">
        <v>43792</v>
      </c>
      <c r="C9" s="4" t="s">
        <v>411</v>
      </c>
      <c r="D9" s="4" t="s">
        <v>493</v>
      </c>
      <c r="E9" s="135">
        <v>1.35</v>
      </c>
      <c r="F9" s="121">
        <v>1.75</v>
      </c>
      <c r="G9" s="121">
        <v>1.9</v>
      </c>
      <c r="H9" s="121">
        <v>2.37</v>
      </c>
      <c r="I9" s="123">
        <v>25</v>
      </c>
      <c r="J9" s="123">
        <v>100</v>
      </c>
      <c r="K9" s="123">
        <f t="shared" si="1"/>
        <v>184.25</v>
      </c>
      <c r="L9" s="124">
        <f t="shared" si="0"/>
        <v>84.25</v>
      </c>
    </row>
    <row r="10" spans="1:12" ht="15.75" hidden="1" customHeight="1" thickBot="1" x14ac:dyDescent="0.3">
      <c r="A10" s="4" t="s">
        <v>434</v>
      </c>
      <c r="B10" s="130">
        <v>43792</v>
      </c>
      <c r="C10" s="4" t="s">
        <v>354</v>
      </c>
      <c r="D10" s="4" t="s">
        <v>502</v>
      </c>
      <c r="E10" s="135">
        <v>1.35</v>
      </c>
      <c r="F10" s="121">
        <v>1.9</v>
      </c>
      <c r="G10" s="121">
        <v>2</v>
      </c>
      <c r="H10" s="121">
        <v>1.9</v>
      </c>
      <c r="I10" s="123">
        <v>25</v>
      </c>
      <c r="J10" s="123">
        <v>100</v>
      </c>
      <c r="K10" s="123">
        <f t="shared" si="1"/>
        <v>178.75</v>
      </c>
      <c r="L10" s="124">
        <f t="shared" si="0"/>
        <v>78.75</v>
      </c>
    </row>
    <row r="11" spans="1:12" ht="15.75" hidden="1" customHeight="1" thickBot="1" x14ac:dyDescent="0.3">
      <c r="A11" s="4" t="s">
        <v>434</v>
      </c>
      <c r="B11" s="130">
        <v>43792</v>
      </c>
      <c r="C11" s="4" t="s">
        <v>503</v>
      </c>
      <c r="D11" s="4" t="s">
        <v>111</v>
      </c>
      <c r="E11" s="135">
        <v>1.35</v>
      </c>
      <c r="F11" s="121">
        <v>1.53</v>
      </c>
      <c r="G11" s="121">
        <v>1.9</v>
      </c>
      <c r="H11" s="122">
        <v>0</v>
      </c>
      <c r="I11" s="123">
        <v>25</v>
      </c>
      <c r="J11" s="123">
        <v>100</v>
      </c>
      <c r="K11" s="123">
        <f t="shared" si="1"/>
        <v>119.5</v>
      </c>
      <c r="L11" s="124">
        <f t="shared" si="0"/>
        <v>19.5</v>
      </c>
    </row>
    <row r="12" spans="1:12" ht="15.75" hidden="1" customHeight="1" thickBot="1" x14ac:dyDescent="0.3">
      <c r="A12" s="4" t="s">
        <v>430</v>
      </c>
      <c r="B12" s="130">
        <v>43792</v>
      </c>
      <c r="C12" s="4" t="s">
        <v>352</v>
      </c>
      <c r="D12" s="4" t="s">
        <v>505</v>
      </c>
      <c r="E12" s="135">
        <v>1.35</v>
      </c>
      <c r="F12" s="121">
        <v>1.57</v>
      </c>
      <c r="G12" s="121">
        <v>2.1</v>
      </c>
      <c r="H12" s="121">
        <v>1.83</v>
      </c>
      <c r="I12" s="123">
        <v>25</v>
      </c>
      <c r="J12" s="123">
        <v>100</v>
      </c>
      <c r="K12" s="123">
        <f t="shared" si="1"/>
        <v>171.25</v>
      </c>
      <c r="L12" s="124">
        <f t="shared" si="0"/>
        <v>71.25</v>
      </c>
    </row>
    <row r="13" spans="1:12" ht="15.75" hidden="1" customHeight="1" thickBot="1" x14ac:dyDescent="0.3">
      <c r="A13" s="4" t="s">
        <v>538</v>
      </c>
      <c r="B13" s="130">
        <v>43792</v>
      </c>
      <c r="C13" s="4" t="s">
        <v>510</v>
      </c>
      <c r="D13" s="4" t="s">
        <v>416</v>
      </c>
      <c r="E13" s="135">
        <v>1.35</v>
      </c>
      <c r="F13" s="121">
        <v>1.5</v>
      </c>
      <c r="G13" s="121">
        <v>2.1</v>
      </c>
      <c r="H13" s="121">
        <v>1.5</v>
      </c>
      <c r="I13" s="123">
        <v>25</v>
      </c>
      <c r="J13" s="123">
        <v>100</v>
      </c>
      <c r="K13" s="123">
        <f t="shared" si="1"/>
        <v>161.25</v>
      </c>
      <c r="L13" s="124">
        <f t="shared" si="0"/>
        <v>61.25</v>
      </c>
    </row>
    <row r="14" spans="1:12" ht="15.75" hidden="1" customHeight="1" thickBot="1" x14ac:dyDescent="0.3">
      <c r="A14" s="4" t="s">
        <v>539</v>
      </c>
      <c r="B14" s="130">
        <v>43792</v>
      </c>
      <c r="C14" s="4" t="s">
        <v>208</v>
      </c>
      <c r="D14" s="4" t="s">
        <v>536</v>
      </c>
      <c r="E14" s="135">
        <v>1.35</v>
      </c>
      <c r="F14" s="122">
        <v>0</v>
      </c>
      <c r="G14" s="122">
        <v>0</v>
      </c>
      <c r="H14" s="122">
        <v>0</v>
      </c>
      <c r="I14" s="123">
        <v>25</v>
      </c>
      <c r="J14" s="123">
        <v>100</v>
      </c>
      <c r="K14" s="123">
        <f t="shared" si="1"/>
        <v>33.75</v>
      </c>
      <c r="L14" s="124">
        <f t="shared" si="0"/>
        <v>-66.25</v>
      </c>
    </row>
    <row r="15" spans="1:12" ht="15.75" hidden="1" customHeight="1" thickBot="1" x14ac:dyDescent="0.3">
      <c r="A15" s="4" t="s">
        <v>539</v>
      </c>
      <c r="B15" s="130">
        <v>43792</v>
      </c>
      <c r="C15" s="4" t="s">
        <v>364</v>
      </c>
      <c r="D15" s="4" t="s">
        <v>417</v>
      </c>
      <c r="E15" s="135">
        <v>1.35</v>
      </c>
      <c r="F15" s="121">
        <v>1.53</v>
      </c>
      <c r="G15" s="122">
        <v>0</v>
      </c>
      <c r="H15" s="122">
        <v>0</v>
      </c>
      <c r="I15" s="123">
        <v>25</v>
      </c>
      <c r="J15" s="123">
        <v>100</v>
      </c>
      <c r="K15" s="123">
        <f t="shared" si="1"/>
        <v>72</v>
      </c>
      <c r="L15" s="124">
        <f t="shared" ref="L15:L16" si="2">K15-J15</f>
        <v>-28</v>
      </c>
    </row>
    <row r="16" spans="1:12" ht="15.75" hidden="1" customHeight="1" thickBot="1" x14ac:dyDescent="0.3">
      <c r="A16" s="4" t="s">
        <v>540</v>
      </c>
      <c r="B16" s="130">
        <v>43792</v>
      </c>
      <c r="C16" s="4" t="s">
        <v>338</v>
      </c>
      <c r="D16" s="4" t="s">
        <v>339</v>
      </c>
      <c r="E16" s="135">
        <v>1.35</v>
      </c>
      <c r="F16" s="122">
        <v>0</v>
      </c>
      <c r="G16" s="121">
        <v>1.9</v>
      </c>
      <c r="H16" s="121">
        <v>2</v>
      </c>
      <c r="I16" s="123">
        <v>25</v>
      </c>
      <c r="J16" s="123">
        <v>100</v>
      </c>
      <c r="K16" s="123">
        <f t="shared" si="1"/>
        <v>131.25</v>
      </c>
      <c r="L16" s="124">
        <f t="shared" si="2"/>
        <v>31.25</v>
      </c>
    </row>
    <row r="17" spans="1:12" ht="15.75" hidden="1" customHeight="1" thickBot="1" x14ac:dyDescent="0.3">
      <c r="A17" s="4" t="s">
        <v>546</v>
      </c>
      <c r="B17" s="130">
        <v>43792</v>
      </c>
      <c r="C17" s="132" t="s">
        <v>118</v>
      </c>
      <c r="D17" s="132" t="s">
        <v>517</v>
      </c>
      <c r="E17" s="135">
        <v>1.35</v>
      </c>
      <c r="F17" s="121">
        <v>2.0499999999999998</v>
      </c>
      <c r="G17" s="121">
        <v>2.2000000000000002</v>
      </c>
      <c r="H17" s="121">
        <v>1.9</v>
      </c>
      <c r="I17" s="123">
        <v>25</v>
      </c>
      <c r="J17" s="123">
        <v>100</v>
      </c>
      <c r="K17" s="123">
        <f t="shared" si="1"/>
        <v>187.5</v>
      </c>
      <c r="L17" s="124">
        <f t="shared" ref="L17:L22" si="3">K17-J17</f>
        <v>87.5</v>
      </c>
    </row>
    <row r="18" spans="1:12" ht="15.75" hidden="1" customHeight="1" thickBot="1" x14ac:dyDescent="0.3">
      <c r="A18" s="4" t="s">
        <v>547</v>
      </c>
      <c r="B18" s="130">
        <v>43792</v>
      </c>
      <c r="C18" s="132" t="s">
        <v>518</v>
      </c>
      <c r="D18" s="132" t="s">
        <v>519</v>
      </c>
      <c r="E18" s="135">
        <v>1.35</v>
      </c>
      <c r="F18" s="121">
        <v>1.66</v>
      </c>
      <c r="G18" s="121">
        <v>1.8</v>
      </c>
      <c r="H18" s="122">
        <v>0</v>
      </c>
      <c r="I18" s="123">
        <v>25</v>
      </c>
      <c r="J18" s="123">
        <v>100</v>
      </c>
      <c r="K18" s="123">
        <f t="shared" si="1"/>
        <v>120.25</v>
      </c>
      <c r="L18" s="124">
        <f t="shared" si="3"/>
        <v>20.25</v>
      </c>
    </row>
    <row r="19" spans="1:12" ht="15.75" hidden="1" customHeight="1" thickBot="1" x14ac:dyDescent="0.3">
      <c r="A19" s="4" t="s">
        <v>548</v>
      </c>
      <c r="B19" s="130">
        <v>43792</v>
      </c>
      <c r="C19" s="132" t="s">
        <v>520</v>
      </c>
      <c r="D19" s="132" t="s">
        <v>367</v>
      </c>
      <c r="E19" s="135">
        <v>1.35</v>
      </c>
      <c r="F19" s="121">
        <v>1.95</v>
      </c>
      <c r="G19" s="121">
        <v>1.85</v>
      </c>
      <c r="H19" s="122">
        <v>0</v>
      </c>
      <c r="I19" s="123">
        <v>25</v>
      </c>
      <c r="J19" s="123">
        <v>100</v>
      </c>
      <c r="K19" s="123">
        <f t="shared" si="1"/>
        <v>128.75</v>
      </c>
      <c r="L19" s="124">
        <f t="shared" si="3"/>
        <v>28.75</v>
      </c>
    </row>
    <row r="20" spans="1:12" ht="15.75" hidden="1" customHeight="1" thickBot="1" x14ac:dyDescent="0.3">
      <c r="A20" s="4" t="s">
        <v>548</v>
      </c>
      <c r="B20" s="130">
        <v>43792</v>
      </c>
      <c r="C20" s="132" t="s">
        <v>326</v>
      </c>
      <c r="D20" s="132" t="s">
        <v>521</v>
      </c>
      <c r="E20" s="135">
        <v>1.35</v>
      </c>
      <c r="F20" s="122">
        <v>0</v>
      </c>
      <c r="G20" s="122">
        <v>0</v>
      </c>
      <c r="H20" s="122">
        <v>0</v>
      </c>
      <c r="I20" s="123">
        <v>25</v>
      </c>
      <c r="J20" s="123">
        <v>100</v>
      </c>
      <c r="K20" s="123">
        <f t="shared" si="1"/>
        <v>33.75</v>
      </c>
      <c r="L20" s="124">
        <f t="shared" si="3"/>
        <v>-66.25</v>
      </c>
    </row>
    <row r="21" spans="1:12" ht="15.75" hidden="1" customHeight="1" thickBot="1" x14ac:dyDescent="0.3">
      <c r="A21" s="4" t="s">
        <v>548</v>
      </c>
      <c r="B21" s="130">
        <v>43792</v>
      </c>
      <c r="C21" s="132" t="s">
        <v>419</v>
      </c>
      <c r="D21" s="132" t="s">
        <v>366</v>
      </c>
      <c r="E21" s="135">
        <v>1.35</v>
      </c>
      <c r="F21" s="122">
        <v>0</v>
      </c>
      <c r="G21" s="122">
        <v>0</v>
      </c>
      <c r="H21" s="121">
        <v>1.8</v>
      </c>
      <c r="I21" s="123">
        <v>25</v>
      </c>
      <c r="J21" s="123">
        <v>100</v>
      </c>
      <c r="K21" s="123">
        <f t="shared" si="1"/>
        <v>78.75</v>
      </c>
      <c r="L21" s="124">
        <f t="shared" si="3"/>
        <v>-21.25</v>
      </c>
    </row>
    <row r="22" spans="1:12" ht="15.75" hidden="1" customHeight="1" thickBot="1" x14ac:dyDescent="0.3">
      <c r="A22" s="4" t="s">
        <v>549</v>
      </c>
      <c r="B22" s="130">
        <v>43792</v>
      </c>
      <c r="C22" s="4" t="s">
        <v>522</v>
      </c>
      <c r="D22" s="4" t="s">
        <v>92</v>
      </c>
      <c r="E22" s="135">
        <v>1.35</v>
      </c>
      <c r="F22" s="121">
        <v>2.25</v>
      </c>
      <c r="G22" s="122">
        <v>0</v>
      </c>
      <c r="H22" s="121">
        <v>1.9</v>
      </c>
      <c r="I22" s="123">
        <v>25</v>
      </c>
      <c r="J22" s="123">
        <v>100</v>
      </c>
      <c r="K22" s="123">
        <f t="shared" si="1"/>
        <v>137.5</v>
      </c>
      <c r="L22" s="124">
        <f t="shared" si="3"/>
        <v>37.5</v>
      </c>
    </row>
    <row r="23" spans="1:12" ht="15.75" thickBot="1" x14ac:dyDescent="0.3">
      <c r="A23" s="4" t="s">
        <v>559</v>
      </c>
      <c r="B23" s="130">
        <v>43794</v>
      </c>
      <c r="C23" s="132" t="s">
        <v>171</v>
      </c>
      <c r="D23" s="132" t="s">
        <v>556</v>
      </c>
      <c r="E23" s="136">
        <v>0</v>
      </c>
      <c r="F23" s="136">
        <v>0</v>
      </c>
      <c r="G23" s="122">
        <v>0</v>
      </c>
      <c r="H23" s="121">
        <v>1.28</v>
      </c>
      <c r="I23" s="123">
        <v>25</v>
      </c>
      <c r="J23" s="123">
        <v>100</v>
      </c>
      <c r="K23" s="123">
        <f t="shared" si="1"/>
        <v>32</v>
      </c>
      <c r="L23" s="124">
        <f t="shared" ref="L23:L29" si="4">K23-J23</f>
        <v>-68</v>
      </c>
    </row>
    <row r="24" spans="1:12" ht="15.75" thickBot="1" x14ac:dyDescent="0.3">
      <c r="A24" s="4" t="s">
        <v>560</v>
      </c>
      <c r="B24" s="130">
        <v>43794</v>
      </c>
      <c r="C24" s="4" t="s">
        <v>558</v>
      </c>
      <c r="D24" s="4" t="s">
        <v>100</v>
      </c>
      <c r="E24" s="136">
        <v>0</v>
      </c>
      <c r="F24" s="121">
        <v>3.5</v>
      </c>
      <c r="G24" s="121">
        <v>3.4</v>
      </c>
      <c r="H24" s="122">
        <v>0</v>
      </c>
      <c r="I24" s="123">
        <v>25</v>
      </c>
      <c r="J24" s="123">
        <v>100</v>
      </c>
      <c r="K24" s="123">
        <f t="shared" si="1"/>
        <v>172.5</v>
      </c>
      <c r="L24" s="124">
        <f t="shared" si="4"/>
        <v>72.5</v>
      </c>
    </row>
    <row r="25" spans="1:12" ht="15.75" thickBot="1" x14ac:dyDescent="0.3">
      <c r="A25" s="4"/>
      <c r="B25" s="130"/>
      <c r="C25" s="4"/>
      <c r="D25" s="4"/>
      <c r="E25" s="137"/>
      <c r="F25" s="125"/>
      <c r="G25" s="125"/>
      <c r="H25" s="125"/>
      <c r="I25" s="123">
        <v>25</v>
      </c>
      <c r="J25" s="123">
        <v>100</v>
      </c>
      <c r="K25" s="123">
        <f t="shared" si="1"/>
        <v>0</v>
      </c>
      <c r="L25" s="124">
        <f t="shared" si="4"/>
        <v>-100</v>
      </c>
    </row>
    <row r="26" spans="1:12" ht="15.75" thickBot="1" x14ac:dyDescent="0.3">
      <c r="A26" s="4"/>
      <c r="B26" s="130"/>
      <c r="C26" s="4"/>
      <c r="D26" s="4"/>
      <c r="E26" s="137"/>
      <c r="F26" s="125"/>
      <c r="G26" s="125"/>
      <c r="H26" s="125"/>
      <c r="I26" s="123">
        <v>25</v>
      </c>
      <c r="J26" s="123">
        <v>100</v>
      </c>
      <c r="K26" s="123">
        <f t="shared" si="1"/>
        <v>0</v>
      </c>
      <c r="L26" s="124">
        <f t="shared" si="4"/>
        <v>-100</v>
      </c>
    </row>
    <row r="27" spans="1:12" ht="15.75" thickBot="1" x14ac:dyDescent="0.3">
      <c r="A27" s="4"/>
      <c r="B27" s="130"/>
      <c r="C27" s="4"/>
      <c r="D27" s="4"/>
      <c r="E27" s="137"/>
      <c r="F27" s="125"/>
      <c r="G27" s="125"/>
      <c r="H27" s="125"/>
      <c r="I27" s="123">
        <v>25</v>
      </c>
      <c r="J27" s="123">
        <v>100</v>
      </c>
      <c r="K27" s="123">
        <f t="shared" si="1"/>
        <v>0</v>
      </c>
      <c r="L27" s="124">
        <f t="shared" si="4"/>
        <v>-100</v>
      </c>
    </row>
    <row r="28" spans="1:12" ht="15.75" thickBot="1" x14ac:dyDescent="0.3">
      <c r="A28" s="4"/>
      <c r="B28" s="130"/>
      <c r="C28" s="4"/>
      <c r="D28" s="4"/>
      <c r="E28" s="137"/>
      <c r="F28" s="125"/>
      <c r="G28" s="125"/>
      <c r="H28" s="125"/>
      <c r="I28" s="123">
        <v>25</v>
      </c>
      <c r="J28" s="123">
        <v>100</v>
      </c>
      <c r="K28" s="123">
        <f t="shared" si="1"/>
        <v>0</v>
      </c>
      <c r="L28" s="124">
        <f t="shared" si="4"/>
        <v>-100</v>
      </c>
    </row>
    <row r="29" spans="1:12" ht="15.75" thickBot="1" x14ac:dyDescent="0.3">
      <c r="A29" s="4"/>
      <c r="B29" s="130"/>
      <c r="C29" s="4"/>
      <c r="D29" s="4"/>
      <c r="E29" s="137"/>
      <c r="F29" s="125"/>
      <c r="G29" s="125"/>
      <c r="H29" s="125"/>
      <c r="I29" s="123">
        <v>25</v>
      </c>
      <c r="J29" s="123">
        <v>100</v>
      </c>
      <c r="K29" s="123">
        <f t="shared" si="1"/>
        <v>0</v>
      </c>
      <c r="L29" s="124">
        <f t="shared" si="4"/>
        <v>-100</v>
      </c>
    </row>
  </sheetData>
  <mergeCells count="1">
    <mergeCell ref="A1:G3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J86"/>
  <sheetViews>
    <sheetView topLeftCell="A67" workbookViewId="0">
      <selection activeCell="B88" sqref="B88"/>
    </sheetView>
  </sheetViews>
  <sheetFormatPr defaultRowHeight="15" x14ac:dyDescent="0.25"/>
  <cols>
    <col min="1" max="1" width="13.85546875" style="1" bestFit="1" customWidth="1"/>
    <col min="2" max="2" width="15.42578125" style="1" bestFit="1" customWidth="1"/>
    <col min="3" max="3" width="22.5703125" style="1" bestFit="1" customWidth="1"/>
    <col min="4" max="4" width="20.28515625" style="1" bestFit="1" customWidth="1"/>
    <col min="5" max="5" width="15.85546875" style="1" bestFit="1" customWidth="1"/>
    <col min="6" max="6" width="13.7109375" style="1" customWidth="1"/>
    <col min="7" max="7" width="16" style="1" bestFit="1" customWidth="1"/>
    <col min="8" max="8" width="12.140625" style="1" bestFit="1" customWidth="1"/>
    <col min="9" max="9" width="13.28515625" bestFit="1" customWidth="1"/>
    <col min="10" max="10" width="12.140625" bestFit="1" customWidth="1"/>
  </cols>
  <sheetData>
    <row r="1" spans="1:9" ht="28.5" x14ac:dyDescent="0.45">
      <c r="A1" s="169" t="s">
        <v>146</v>
      </c>
      <c r="B1" s="170"/>
      <c r="C1" s="170"/>
      <c r="D1" s="170"/>
      <c r="E1" s="170"/>
      <c r="F1" s="170"/>
      <c r="G1" s="171"/>
    </row>
    <row r="2" spans="1:9" x14ac:dyDescent="0.25">
      <c r="A2" s="70" t="s">
        <v>130</v>
      </c>
      <c r="B2" s="71" t="s">
        <v>131</v>
      </c>
      <c r="C2" s="178" t="s">
        <v>132</v>
      </c>
      <c r="D2" s="178"/>
      <c r="E2" s="71" t="s">
        <v>135</v>
      </c>
      <c r="F2" s="71" t="s">
        <v>17</v>
      </c>
      <c r="G2" s="72" t="s">
        <v>133</v>
      </c>
    </row>
    <row r="3" spans="1:9" x14ac:dyDescent="0.25">
      <c r="A3" s="67" t="s">
        <v>105</v>
      </c>
      <c r="B3" s="68" t="s">
        <v>137</v>
      </c>
      <c r="C3" s="68" t="s">
        <v>106</v>
      </c>
      <c r="D3" s="68" t="s">
        <v>96</v>
      </c>
      <c r="E3" s="68" t="s">
        <v>15</v>
      </c>
      <c r="F3" s="73">
        <v>3.5</v>
      </c>
      <c r="G3" s="69" t="s">
        <v>143</v>
      </c>
      <c r="H3" s="62"/>
      <c r="I3" s="75"/>
    </row>
    <row r="4" spans="1:9" x14ac:dyDescent="0.25">
      <c r="A4" s="67" t="s">
        <v>107</v>
      </c>
      <c r="B4" s="68" t="s">
        <v>134</v>
      </c>
      <c r="C4" s="68" t="s">
        <v>99</v>
      </c>
      <c r="D4" s="68" t="s">
        <v>108</v>
      </c>
      <c r="E4" s="68" t="s">
        <v>12</v>
      </c>
      <c r="F4" s="73">
        <v>2.62</v>
      </c>
      <c r="G4" s="69" t="s">
        <v>143</v>
      </c>
      <c r="H4" s="62"/>
      <c r="I4" s="75"/>
    </row>
    <row r="5" spans="1:9" x14ac:dyDescent="0.25">
      <c r="A5" s="67" t="s">
        <v>109</v>
      </c>
      <c r="B5" s="68" t="s">
        <v>138</v>
      </c>
      <c r="C5" s="68" t="s">
        <v>95</v>
      </c>
      <c r="D5" s="68" t="s">
        <v>94</v>
      </c>
      <c r="E5" s="68" t="s">
        <v>15</v>
      </c>
      <c r="F5" s="73">
        <v>1.95</v>
      </c>
      <c r="G5" s="69" t="s">
        <v>143</v>
      </c>
      <c r="H5" s="62"/>
      <c r="I5" s="75"/>
    </row>
    <row r="6" spans="1:9" x14ac:dyDescent="0.25">
      <c r="A6" s="67" t="s">
        <v>109</v>
      </c>
      <c r="B6" s="68" t="s">
        <v>139</v>
      </c>
      <c r="C6" s="68" t="s">
        <v>110</v>
      </c>
      <c r="D6" s="68" t="s">
        <v>93</v>
      </c>
      <c r="E6" s="68" t="s">
        <v>11</v>
      </c>
      <c r="F6" s="73">
        <v>2.5</v>
      </c>
      <c r="G6" s="69" t="s">
        <v>144</v>
      </c>
      <c r="H6" s="62"/>
      <c r="I6" s="75"/>
    </row>
    <row r="7" spans="1:9" x14ac:dyDescent="0.25">
      <c r="A7" s="67" t="s">
        <v>90</v>
      </c>
      <c r="B7" s="68" t="s">
        <v>140</v>
      </c>
      <c r="C7" s="68" t="s">
        <v>111</v>
      </c>
      <c r="D7" s="68" t="s">
        <v>112</v>
      </c>
      <c r="E7" s="68" t="s">
        <v>141</v>
      </c>
      <c r="F7" s="73">
        <v>1.5</v>
      </c>
      <c r="G7" s="69" t="s">
        <v>144</v>
      </c>
      <c r="H7" s="62"/>
      <c r="I7" s="75"/>
    </row>
    <row r="8" spans="1:9" x14ac:dyDescent="0.25">
      <c r="A8" s="74">
        <v>0.70833333333333337</v>
      </c>
      <c r="B8" s="68" t="s">
        <v>136</v>
      </c>
      <c r="C8" s="68" t="s">
        <v>113</v>
      </c>
      <c r="D8" s="68" t="s">
        <v>114</v>
      </c>
      <c r="E8" s="68" t="s">
        <v>11</v>
      </c>
      <c r="F8" s="73">
        <v>1.72</v>
      </c>
      <c r="G8" s="69" t="s">
        <v>144</v>
      </c>
      <c r="H8" s="62"/>
      <c r="I8" s="75"/>
    </row>
    <row r="9" spans="1:9" x14ac:dyDescent="0.25">
      <c r="A9" s="74">
        <v>0.70833333333333337</v>
      </c>
      <c r="B9" s="68" t="s">
        <v>137</v>
      </c>
      <c r="C9" s="68" t="s">
        <v>115</v>
      </c>
      <c r="D9" s="68" t="s">
        <v>97</v>
      </c>
      <c r="E9" s="68" t="s">
        <v>15</v>
      </c>
      <c r="F9" s="73">
        <v>1.95</v>
      </c>
      <c r="G9" s="69" t="s">
        <v>143</v>
      </c>
      <c r="H9" s="62"/>
      <c r="I9" s="75"/>
    </row>
    <row r="10" spans="1:9" x14ac:dyDescent="0.25">
      <c r="A10" s="74">
        <v>0.70833333333333337</v>
      </c>
      <c r="B10" s="68" t="s">
        <v>134</v>
      </c>
      <c r="C10" s="68" t="s">
        <v>116</v>
      </c>
      <c r="D10" s="68" t="s">
        <v>98</v>
      </c>
      <c r="E10" s="68" t="s">
        <v>15</v>
      </c>
      <c r="F10" s="73">
        <v>1.5</v>
      </c>
      <c r="G10" s="69" t="s">
        <v>144</v>
      </c>
      <c r="H10" s="62"/>
      <c r="I10" s="75"/>
    </row>
    <row r="11" spans="1:9" x14ac:dyDescent="0.25">
      <c r="A11" s="74">
        <v>0.70833333333333337</v>
      </c>
      <c r="B11" s="68" t="s">
        <v>142</v>
      </c>
      <c r="C11" s="68" t="s">
        <v>117</v>
      </c>
      <c r="D11" s="68" t="s">
        <v>100</v>
      </c>
      <c r="E11" s="68" t="s">
        <v>11</v>
      </c>
      <c r="F11" s="73">
        <v>1.72</v>
      </c>
      <c r="G11" s="69" t="s">
        <v>143</v>
      </c>
      <c r="H11" s="62"/>
      <c r="I11" s="75"/>
    </row>
    <row r="12" spans="1:9" x14ac:dyDescent="0.25">
      <c r="A12" s="74">
        <v>0.70833333333333337</v>
      </c>
      <c r="B12" s="68" t="s">
        <v>136</v>
      </c>
      <c r="C12" s="68" t="s">
        <v>118</v>
      </c>
      <c r="D12" s="68" t="s">
        <v>119</v>
      </c>
      <c r="E12" s="68" t="s">
        <v>11</v>
      </c>
      <c r="F12" s="73">
        <v>2.2999999999999998</v>
      </c>
      <c r="G12" s="69" t="s">
        <v>143</v>
      </c>
      <c r="H12" s="62"/>
      <c r="I12" s="75"/>
    </row>
    <row r="13" spans="1:9" x14ac:dyDescent="0.25">
      <c r="A13" s="74">
        <v>0.70833333333333337</v>
      </c>
      <c r="B13" s="68" t="s">
        <v>136</v>
      </c>
      <c r="C13" s="68" t="s">
        <v>118</v>
      </c>
      <c r="D13" s="68" t="s">
        <v>119</v>
      </c>
      <c r="E13" s="68" t="s">
        <v>15</v>
      </c>
      <c r="F13" s="73">
        <v>1.95</v>
      </c>
      <c r="G13" s="69" t="s">
        <v>143</v>
      </c>
      <c r="H13" s="62"/>
      <c r="I13" s="75"/>
    </row>
    <row r="14" spans="1:9" x14ac:dyDescent="0.25">
      <c r="A14" s="74">
        <v>0.70833333333333337</v>
      </c>
      <c r="B14" s="68" t="s">
        <v>136</v>
      </c>
      <c r="C14" s="68" t="s">
        <v>120</v>
      </c>
      <c r="D14" s="68" t="s">
        <v>121</v>
      </c>
      <c r="E14" s="68" t="s">
        <v>11</v>
      </c>
      <c r="F14" s="73">
        <v>2</v>
      </c>
      <c r="G14" s="69" t="s">
        <v>144</v>
      </c>
      <c r="H14" s="62"/>
      <c r="I14" s="75"/>
    </row>
    <row r="15" spans="1:9" x14ac:dyDescent="0.25">
      <c r="A15" s="74">
        <v>0.72916666666666663</v>
      </c>
      <c r="B15" s="68" t="s">
        <v>145</v>
      </c>
      <c r="C15" s="68" t="s">
        <v>91</v>
      </c>
      <c r="D15" s="68" t="s">
        <v>92</v>
      </c>
      <c r="E15" s="68" t="s">
        <v>11</v>
      </c>
      <c r="F15" s="73">
        <v>1.8</v>
      </c>
      <c r="G15" s="69" t="s">
        <v>144</v>
      </c>
      <c r="H15" s="62"/>
      <c r="I15" s="75"/>
    </row>
    <row r="16" spans="1:9" x14ac:dyDescent="0.25">
      <c r="A16" s="74" t="s">
        <v>102</v>
      </c>
      <c r="B16" s="68" t="s">
        <v>150</v>
      </c>
      <c r="C16" s="68" t="s">
        <v>122</v>
      </c>
      <c r="D16" s="68" t="s">
        <v>123</v>
      </c>
      <c r="E16" s="68" t="s">
        <v>15</v>
      </c>
      <c r="F16" s="73">
        <v>1.5</v>
      </c>
      <c r="G16" s="69" t="s">
        <v>144</v>
      </c>
    </row>
    <row r="17" spans="1:10" x14ac:dyDescent="0.25">
      <c r="A17" s="74" t="s">
        <v>103</v>
      </c>
      <c r="B17" s="68" t="s">
        <v>147</v>
      </c>
      <c r="C17" s="68" t="s">
        <v>124</v>
      </c>
      <c r="D17" s="68" t="s">
        <v>125</v>
      </c>
      <c r="E17" s="68" t="s">
        <v>15</v>
      </c>
      <c r="F17" s="73">
        <v>2</v>
      </c>
      <c r="G17" s="69" t="s">
        <v>144</v>
      </c>
    </row>
    <row r="18" spans="1:10" x14ac:dyDescent="0.25">
      <c r="A18" s="74" t="s">
        <v>103</v>
      </c>
      <c r="B18" s="68" t="s">
        <v>147</v>
      </c>
      <c r="C18" s="68" t="s">
        <v>126</v>
      </c>
      <c r="D18" s="68" t="s">
        <v>127</v>
      </c>
      <c r="E18" s="68" t="s">
        <v>148</v>
      </c>
      <c r="F18" s="73">
        <v>1.4</v>
      </c>
      <c r="G18" s="69" t="s">
        <v>143</v>
      </c>
    </row>
    <row r="19" spans="1:10" x14ac:dyDescent="0.25">
      <c r="A19" s="74" t="s">
        <v>104</v>
      </c>
      <c r="B19" s="68" t="s">
        <v>149</v>
      </c>
      <c r="C19" s="68" t="s">
        <v>128</v>
      </c>
      <c r="D19" s="68" t="s">
        <v>129</v>
      </c>
      <c r="E19" s="68" t="s">
        <v>15</v>
      </c>
      <c r="F19" s="73">
        <v>1.66</v>
      </c>
      <c r="G19" s="69" t="s">
        <v>144</v>
      </c>
    </row>
    <row r="20" spans="1:10" ht="29.25" thickBot="1" x14ac:dyDescent="0.5">
      <c r="A20" s="175" t="s">
        <v>144</v>
      </c>
      <c r="B20" s="176"/>
      <c r="C20" s="177"/>
      <c r="D20" s="172">
        <f>COUNTIF(G3:G19,"GREEN")/COUNTA(G3:G19)</f>
        <v>0.52941176470588236</v>
      </c>
      <c r="E20" s="173"/>
      <c r="F20" s="173"/>
      <c r="G20" s="174"/>
      <c r="H20" s="62"/>
      <c r="I20" s="75"/>
      <c r="J20" s="61"/>
    </row>
    <row r="21" spans="1:10" ht="15.75" thickBot="1" x14ac:dyDescent="0.3"/>
    <row r="22" spans="1:10" ht="28.5" x14ac:dyDescent="0.45">
      <c r="A22" s="169" t="s">
        <v>151</v>
      </c>
      <c r="B22" s="170"/>
      <c r="C22" s="170"/>
      <c r="D22" s="170"/>
      <c r="E22" s="170"/>
      <c r="F22" s="170"/>
      <c r="G22" s="171"/>
    </row>
    <row r="23" spans="1:10" x14ac:dyDescent="0.25">
      <c r="A23" s="70" t="s">
        <v>130</v>
      </c>
      <c r="B23" s="71" t="s">
        <v>131</v>
      </c>
      <c r="C23" s="178" t="s">
        <v>132</v>
      </c>
      <c r="D23" s="178"/>
      <c r="E23" s="71" t="s">
        <v>135</v>
      </c>
      <c r="F23" s="71" t="s">
        <v>17</v>
      </c>
      <c r="G23" s="72" t="s">
        <v>133</v>
      </c>
    </row>
    <row r="24" spans="1:10" x14ac:dyDescent="0.25">
      <c r="A24" s="74">
        <v>0.5</v>
      </c>
      <c r="B24" s="68" t="s">
        <v>181</v>
      </c>
      <c r="C24" s="68" t="s">
        <v>152</v>
      </c>
      <c r="D24" s="68" t="s">
        <v>153</v>
      </c>
      <c r="E24" s="68" t="s">
        <v>15</v>
      </c>
      <c r="F24" s="73">
        <v>1.61</v>
      </c>
      <c r="G24" s="69" t="s">
        <v>143</v>
      </c>
    </row>
    <row r="25" spans="1:10" x14ac:dyDescent="0.25">
      <c r="A25" s="74">
        <v>0.57638888888888895</v>
      </c>
      <c r="B25" s="68" t="s">
        <v>182</v>
      </c>
      <c r="C25" s="68" t="s">
        <v>154</v>
      </c>
      <c r="D25" s="68" t="s">
        <v>174</v>
      </c>
      <c r="E25" s="68" t="s">
        <v>15</v>
      </c>
      <c r="F25" s="73">
        <v>1.72</v>
      </c>
      <c r="G25" s="69" t="s">
        <v>144</v>
      </c>
    </row>
    <row r="26" spans="1:10" x14ac:dyDescent="0.25">
      <c r="A26" s="74">
        <v>0.625</v>
      </c>
      <c r="B26" s="68" t="s">
        <v>183</v>
      </c>
      <c r="C26" s="68" t="s">
        <v>189</v>
      </c>
      <c r="D26" s="68" t="s">
        <v>157</v>
      </c>
      <c r="E26" s="68" t="s">
        <v>15</v>
      </c>
      <c r="F26" s="73">
        <v>1.66</v>
      </c>
      <c r="G26" s="69" t="s">
        <v>143</v>
      </c>
    </row>
    <row r="27" spans="1:10" x14ac:dyDescent="0.25">
      <c r="A27" s="74">
        <v>0.625</v>
      </c>
      <c r="B27" s="68" t="s">
        <v>187</v>
      </c>
      <c r="C27" s="68" t="s">
        <v>155</v>
      </c>
      <c r="D27" s="68" t="s">
        <v>156</v>
      </c>
      <c r="E27" s="68" t="s">
        <v>11</v>
      </c>
      <c r="F27" s="73">
        <v>2.35</v>
      </c>
      <c r="G27" s="69" t="s">
        <v>143</v>
      </c>
    </row>
    <row r="28" spans="1:10" x14ac:dyDescent="0.25">
      <c r="A28" s="74">
        <v>0.63888888888888895</v>
      </c>
      <c r="B28" s="68" t="s">
        <v>182</v>
      </c>
      <c r="C28" s="68" t="s">
        <v>175</v>
      </c>
      <c r="D28" s="68" t="s">
        <v>158</v>
      </c>
      <c r="E28" s="68" t="s">
        <v>15</v>
      </c>
      <c r="F28" s="73">
        <v>1.66</v>
      </c>
      <c r="G28" s="69" t="s">
        <v>144</v>
      </c>
    </row>
    <row r="29" spans="1:10" x14ac:dyDescent="0.25">
      <c r="A29" s="74">
        <v>0.70833333333333337</v>
      </c>
      <c r="B29" s="68" t="s">
        <v>180</v>
      </c>
      <c r="C29" s="68" t="s">
        <v>165</v>
      </c>
      <c r="D29" s="68" t="s">
        <v>166</v>
      </c>
      <c r="E29" s="68" t="s">
        <v>15</v>
      </c>
      <c r="F29" s="73">
        <v>1.53</v>
      </c>
      <c r="G29" s="69" t="s">
        <v>144</v>
      </c>
    </row>
    <row r="30" spans="1:10" x14ac:dyDescent="0.25">
      <c r="A30" s="74">
        <v>0.70833333333333337</v>
      </c>
      <c r="B30" s="68" t="s">
        <v>180</v>
      </c>
      <c r="C30" s="68" t="s">
        <v>167</v>
      </c>
      <c r="D30" s="68" t="s">
        <v>190</v>
      </c>
      <c r="E30" s="68" t="s">
        <v>15</v>
      </c>
      <c r="F30" s="73">
        <v>1.5</v>
      </c>
      <c r="G30" s="69" t="s">
        <v>144</v>
      </c>
    </row>
    <row r="31" spans="1:10" x14ac:dyDescent="0.25">
      <c r="A31" s="74">
        <v>0.70833333333333337</v>
      </c>
      <c r="B31" s="68" t="s">
        <v>180</v>
      </c>
      <c r="C31" s="68" t="s">
        <v>163</v>
      </c>
      <c r="D31" s="68" t="s">
        <v>164</v>
      </c>
      <c r="E31" s="68" t="s">
        <v>12</v>
      </c>
      <c r="F31" s="73">
        <v>2</v>
      </c>
      <c r="G31" s="69" t="s">
        <v>144</v>
      </c>
    </row>
    <row r="32" spans="1:10" x14ac:dyDescent="0.25">
      <c r="A32" s="74">
        <v>0.70833333333333337</v>
      </c>
      <c r="B32" s="68" t="s">
        <v>187</v>
      </c>
      <c r="C32" s="68" t="s">
        <v>159</v>
      </c>
      <c r="D32" s="68" t="s">
        <v>160</v>
      </c>
      <c r="E32" s="68" t="s">
        <v>186</v>
      </c>
      <c r="F32" s="73">
        <v>1.95</v>
      </c>
      <c r="G32" s="69" t="s">
        <v>144</v>
      </c>
    </row>
    <row r="33" spans="1:7" x14ac:dyDescent="0.25">
      <c r="A33" s="74">
        <v>0.70833333333333337</v>
      </c>
      <c r="B33" s="68" t="s">
        <v>187</v>
      </c>
      <c r="C33" s="68" t="s">
        <v>161</v>
      </c>
      <c r="D33" s="68" t="s">
        <v>162</v>
      </c>
      <c r="E33" s="68" t="s">
        <v>11</v>
      </c>
      <c r="F33" s="73">
        <v>2.0499999999999998</v>
      </c>
      <c r="G33" s="69" t="s">
        <v>143</v>
      </c>
    </row>
    <row r="34" spans="1:7" x14ac:dyDescent="0.25">
      <c r="A34" s="74">
        <v>0.73958333333333337</v>
      </c>
      <c r="B34" s="68" t="s">
        <v>188</v>
      </c>
      <c r="C34" s="68" t="s">
        <v>168</v>
      </c>
      <c r="D34" s="68" t="s">
        <v>169</v>
      </c>
      <c r="E34" s="68" t="s">
        <v>11</v>
      </c>
      <c r="F34" s="73">
        <v>1.66</v>
      </c>
      <c r="G34" s="69" t="s">
        <v>144</v>
      </c>
    </row>
    <row r="35" spans="1:7" x14ac:dyDescent="0.25">
      <c r="A35" s="74">
        <v>0.83333333333333337</v>
      </c>
      <c r="B35" s="68" t="s">
        <v>136</v>
      </c>
      <c r="C35" s="68" t="s">
        <v>172</v>
      </c>
      <c r="D35" s="68" t="s">
        <v>173</v>
      </c>
      <c r="E35" s="68" t="s">
        <v>11</v>
      </c>
      <c r="F35" s="73">
        <v>1.77</v>
      </c>
      <c r="G35" s="69" t="s">
        <v>144</v>
      </c>
    </row>
    <row r="36" spans="1:7" x14ac:dyDescent="0.25">
      <c r="A36" s="74">
        <v>0.83333333333333337</v>
      </c>
      <c r="B36" s="68" t="s">
        <v>184</v>
      </c>
      <c r="C36" s="68" t="s">
        <v>170</v>
      </c>
      <c r="D36" s="68" t="s">
        <v>171</v>
      </c>
      <c r="E36" s="68" t="s">
        <v>185</v>
      </c>
      <c r="F36" s="73">
        <v>1.9</v>
      </c>
      <c r="G36" s="69" t="s">
        <v>144</v>
      </c>
    </row>
    <row r="37" spans="1:7" ht="29.25" thickBot="1" x14ac:dyDescent="0.5">
      <c r="A37" s="175" t="s">
        <v>144</v>
      </c>
      <c r="B37" s="176"/>
      <c r="C37" s="177"/>
      <c r="D37" s="172">
        <f>IFERROR(COUNTIF(G24:G36,"GREEN")/COUNTA(G24:G36),0)</f>
        <v>0.69230769230769229</v>
      </c>
      <c r="E37" s="173"/>
      <c r="F37" s="173"/>
      <c r="G37" s="174"/>
    </row>
    <row r="38" spans="1:7" ht="15.75" thickBot="1" x14ac:dyDescent="0.3"/>
    <row r="39" spans="1:7" ht="28.5" x14ac:dyDescent="0.45">
      <c r="A39" s="169" t="s">
        <v>218</v>
      </c>
      <c r="B39" s="170"/>
      <c r="C39" s="170"/>
      <c r="D39" s="170"/>
      <c r="E39" s="170"/>
      <c r="F39" s="170"/>
      <c r="G39" s="171"/>
    </row>
    <row r="40" spans="1:7" x14ac:dyDescent="0.25">
      <c r="A40" s="70" t="s">
        <v>130</v>
      </c>
      <c r="B40" s="71" t="s">
        <v>131</v>
      </c>
      <c r="C40" s="179" t="s">
        <v>132</v>
      </c>
      <c r="D40" s="180"/>
      <c r="E40" s="71" t="s">
        <v>135</v>
      </c>
      <c r="F40" s="71" t="s">
        <v>17</v>
      </c>
      <c r="G40" s="72" t="s">
        <v>133</v>
      </c>
    </row>
    <row r="41" spans="1:7" x14ac:dyDescent="0.25">
      <c r="A41" s="74">
        <v>0.54166666666666663</v>
      </c>
      <c r="B41" s="68" t="s">
        <v>219</v>
      </c>
      <c r="C41" s="68" t="s">
        <v>193</v>
      </c>
      <c r="D41" s="68" t="s">
        <v>194</v>
      </c>
      <c r="E41" s="68" t="s">
        <v>15</v>
      </c>
      <c r="F41" s="73">
        <v>2.5</v>
      </c>
      <c r="G41" s="69" t="s">
        <v>143</v>
      </c>
    </row>
    <row r="42" spans="1:7" x14ac:dyDescent="0.25">
      <c r="A42" s="74">
        <v>0.64583333333333337</v>
      </c>
      <c r="B42" s="68" t="s">
        <v>220</v>
      </c>
      <c r="C42" s="68" t="s">
        <v>195</v>
      </c>
      <c r="D42" s="68" t="s">
        <v>196</v>
      </c>
      <c r="E42" s="68" t="s">
        <v>15</v>
      </c>
      <c r="F42" s="73">
        <v>1.83</v>
      </c>
      <c r="G42" s="69" t="s">
        <v>144</v>
      </c>
    </row>
    <row r="43" spans="1:7" x14ac:dyDescent="0.25">
      <c r="A43" s="74">
        <v>0.70833333333333337</v>
      </c>
      <c r="B43" s="68" t="s">
        <v>187</v>
      </c>
      <c r="C43" s="68" t="s">
        <v>178</v>
      </c>
      <c r="D43" s="68" t="s">
        <v>176</v>
      </c>
      <c r="E43" s="68" t="s">
        <v>11</v>
      </c>
      <c r="F43" s="73">
        <v>1.61</v>
      </c>
      <c r="G43" s="69" t="s">
        <v>144</v>
      </c>
    </row>
    <row r="44" spans="1:7" x14ac:dyDescent="0.25">
      <c r="A44" s="74">
        <v>0.70833333333333337</v>
      </c>
      <c r="B44" s="68" t="s">
        <v>187</v>
      </c>
      <c r="C44" s="68" t="s">
        <v>177</v>
      </c>
      <c r="D44" s="68" t="s">
        <v>179</v>
      </c>
      <c r="E44" s="68" t="s">
        <v>15</v>
      </c>
      <c r="F44" s="73">
        <v>1.9</v>
      </c>
      <c r="G44" s="69" t="s">
        <v>143</v>
      </c>
    </row>
    <row r="45" spans="1:7" x14ac:dyDescent="0.25">
      <c r="A45" s="74">
        <v>0.73958333333333337</v>
      </c>
      <c r="B45" s="68" t="s">
        <v>140</v>
      </c>
      <c r="C45" s="68" t="s">
        <v>199</v>
      </c>
      <c r="D45" s="68" t="s">
        <v>200</v>
      </c>
      <c r="E45" s="68" t="s">
        <v>15</v>
      </c>
      <c r="F45" s="73">
        <v>1.9</v>
      </c>
      <c r="G45" s="69" t="s">
        <v>144</v>
      </c>
    </row>
    <row r="46" spans="1:7" x14ac:dyDescent="0.25">
      <c r="A46" s="74">
        <v>0.73958333333333337</v>
      </c>
      <c r="B46" s="68" t="s">
        <v>140</v>
      </c>
      <c r="C46" s="68" t="s">
        <v>201</v>
      </c>
      <c r="D46" s="68" t="s">
        <v>202</v>
      </c>
      <c r="E46" s="68" t="s">
        <v>15</v>
      </c>
      <c r="F46" s="73">
        <v>1.8</v>
      </c>
      <c r="G46" s="69" t="s">
        <v>144</v>
      </c>
    </row>
    <row r="47" spans="1:7" x14ac:dyDescent="0.25">
      <c r="A47" s="74">
        <v>0.73958333333333337</v>
      </c>
      <c r="B47" s="68" t="s">
        <v>221</v>
      </c>
      <c r="C47" s="68" t="s">
        <v>205</v>
      </c>
      <c r="D47" s="68" t="s">
        <v>206</v>
      </c>
      <c r="E47" s="68" t="s">
        <v>15</v>
      </c>
      <c r="F47" s="73">
        <v>1.66</v>
      </c>
      <c r="G47" s="69" t="s">
        <v>143</v>
      </c>
    </row>
    <row r="48" spans="1:7" x14ac:dyDescent="0.25">
      <c r="A48" s="74">
        <v>0.73958333333333337</v>
      </c>
      <c r="B48" s="68" t="s">
        <v>134</v>
      </c>
      <c r="C48" s="68" t="s">
        <v>207</v>
      </c>
      <c r="D48" s="68" t="s">
        <v>208</v>
      </c>
      <c r="E48" s="68" t="s">
        <v>15</v>
      </c>
      <c r="F48" s="73">
        <v>1.83</v>
      </c>
      <c r="G48" s="69" t="s">
        <v>144</v>
      </c>
    </row>
    <row r="49" spans="1:7" x14ac:dyDescent="0.25">
      <c r="A49" s="74">
        <v>0.73958333333333337</v>
      </c>
      <c r="B49" s="68" t="s">
        <v>140</v>
      </c>
      <c r="C49" s="68" t="s">
        <v>203</v>
      </c>
      <c r="D49" s="68" t="s">
        <v>204</v>
      </c>
      <c r="E49" s="68" t="s">
        <v>11</v>
      </c>
      <c r="F49" s="73">
        <v>1.8</v>
      </c>
      <c r="G49" s="69" t="s">
        <v>144</v>
      </c>
    </row>
    <row r="50" spans="1:7" x14ac:dyDescent="0.25">
      <c r="A50" s="74">
        <v>0.73958333333333337</v>
      </c>
      <c r="B50" s="68" t="s">
        <v>140</v>
      </c>
      <c r="C50" s="68" t="s">
        <v>197</v>
      </c>
      <c r="D50" s="68" t="s">
        <v>198</v>
      </c>
      <c r="E50" s="68" t="s">
        <v>222</v>
      </c>
      <c r="F50" s="73">
        <v>1.61</v>
      </c>
      <c r="G50" s="69" t="s">
        <v>143</v>
      </c>
    </row>
    <row r="51" spans="1:7" x14ac:dyDescent="0.25">
      <c r="A51" s="74">
        <v>0.75</v>
      </c>
      <c r="B51" s="68" t="s">
        <v>140</v>
      </c>
      <c r="C51" s="68" t="s">
        <v>209</v>
      </c>
      <c r="D51" s="68" t="s">
        <v>210</v>
      </c>
      <c r="E51" s="68" t="s">
        <v>223</v>
      </c>
      <c r="F51" s="73">
        <v>1.66</v>
      </c>
      <c r="G51" s="69" t="s">
        <v>143</v>
      </c>
    </row>
    <row r="52" spans="1:7" x14ac:dyDescent="0.25">
      <c r="A52" s="74">
        <v>0.75347222222222221</v>
      </c>
      <c r="B52" s="68" t="s">
        <v>137</v>
      </c>
      <c r="C52" s="68" t="s">
        <v>211</v>
      </c>
      <c r="D52" s="68" t="s">
        <v>212</v>
      </c>
      <c r="E52" s="68" t="s">
        <v>15</v>
      </c>
      <c r="F52" s="73">
        <v>1.9</v>
      </c>
      <c r="G52" s="69" t="s">
        <v>144</v>
      </c>
    </row>
    <row r="53" spans="1:7" x14ac:dyDescent="0.25">
      <c r="A53" s="74">
        <v>0.77083333333333337</v>
      </c>
      <c r="B53" s="68" t="s">
        <v>138</v>
      </c>
      <c r="C53" s="68" t="s">
        <v>192</v>
      </c>
      <c r="D53" s="68" t="s">
        <v>191</v>
      </c>
      <c r="E53" s="68" t="s">
        <v>15</v>
      </c>
      <c r="F53" s="73">
        <v>2.1</v>
      </c>
      <c r="G53" s="69" t="s">
        <v>144</v>
      </c>
    </row>
    <row r="54" spans="1:7" ht="29.25" thickBot="1" x14ac:dyDescent="0.5">
      <c r="A54" s="175" t="s">
        <v>144</v>
      </c>
      <c r="B54" s="176"/>
      <c r="C54" s="177"/>
      <c r="D54" s="172">
        <f>IFERROR(COUNTIF(G41:G53,"GREEN")/COUNTA(G41:G53),0)</f>
        <v>0.61538461538461542</v>
      </c>
      <c r="E54" s="173"/>
      <c r="F54" s="173"/>
      <c r="G54" s="174"/>
    </row>
    <row r="55" spans="1:7" ht="15.75" thickBot="1" x14ac:dyDescent="0.3"/>
    <row r="56" spans="1:7" ht="28.5" x14ac:dyDescent="0.45">
      <c r="A56" s="169" t="s">
        <v>224</v>
      </c>
      <c r="B56" s="170"/>
      <c r="C56" s="170"/>
      <c r="D56" s="170"/>
      <c r="E56" s="170"/>
      <c r="F56" s="170"/>
      <c r="G56" s="171"/>
    </row>
    <row r="57" spans="1:7" x14ac:dyDescent="0.25">
      <c r="A57" s="70" t="s">
        <v>130</v>
      </c>
      <c r="B57" s="71" t="s">
        <v>131</v>
      </c>
      <c r="C57" s="179" t="s">
        <v>132</v>
      </c>
      <c r="D57" s="180"/>
      <c r="E57" s="71" t="s">
        <v>135</v>
      </c>
      <c r="F57" s="71" t="s">
        <v>17</v>
      </c>
      <c r="G57" s="72" t="s">
        <v>133</v>
      </c>
    </row>
    <row r="58" spans="1:7" x14ac:dyDescent="0.25">
      <c r="A58" s="74">
        <v>0.72916666666666663</v>
      </c>
      <c r="B58" s="68" t="s">
        <v>220</v>
      </c>
      <c r="C58" s="68" t="s">
        <v>227</v>
      </c>
      <c r="D58" s="68" t="s">
        <v>225</v>
      </c>
      <c r="E58" s="68" t="s">
        <v>15</v>
      </c>
      <c r="F58" s="73">
        <v>1.66</v>
      </c>
      <c r="G58" s="69" t="s">
        <v>144</v>
      </c>
    </row>
    <row r="59" spans="1:7" x14ac:dyDescent="0.25">
      <c r="A59" s="74">
        <v>0.72916666666666663</v>
      </c>
      <c r="B59" s="68" t="s">
        <v>220</v>
      </c>
      <c r="C59" s="68" t="s">
        <v>226</v>
      </c>
      <c r="D59" s="68" t="s">
        <v>228</v>
      </c>
      <c r="E59" s="68" t="s">
        <v>15</v>
      </c>
      <c r="F59" s="73">
        <v>1.57</v>
      </c>
      <c r="G59" s="69" t="s">
        <v>144</v>
      </c>
    </row>
    <row r="60" spans="1:7" x14ac:dyDescent="0.25">
      <c r="A60" s="74">
        <v>0.73958333333333337</v>
      </c>
      <c r="B60" s="68" t="s">
        <v>140</v>
      </c>
      <c r="C60" s="68" t="s">
        <v>215</v>
      </c>
      <c r="D60" s="68" t="s">
        <v>111</v>
      </c>
      <c r="E60" s="68" t="s">
        <v>11</v>
      </c>
      <c r="F60" s="73">
        <v>1.72</v>
      </c>
      <c r="G60" s="69" t="s">
        <v>144</v>
      </c>
    </row>
    <row r="61" spans="1:7" x14ac:dyDescent="0.25">
      <c r="A61" s="74">
        <v>0.73958333333333337</v>
      </c>
      <c r="B61" s="68" t="s">
        <v>140</v>
      </c>
      <c r="C61" s="68" t="s">
        <v>214</v>
      </c>
      <c r="D61" s="68" t="s">
        <v>216</v>
      </c>
      <c r="E61" s="68" t="s">
        <v>15</v>
      </c>
      <c r="F61" s="73">
        <v>1.75</v>
      </c>
      <c r="G61" s="69" t="s">
        <v>144</v>
      </c>
    </row>
    <row r="62" spans="1:7" x14ac:dyDescent="0.25">
      <c r="A62" s="74">
        <v>0.73958333333333337</v>
      </c>
      <c r="B62" s="68" t="s">
        <v>139</v>
      </c>
      <c r="C62" s="68" t="s">
        <v>230</v>
      </c>
      <c r="D62" s="68" t="s">
        <v>229</v>
      </c>
      <c r="E62" s="68" t="s">
        <v>11</v>
      </c>
      <c r="F62" s="73">
        <v>1.95</v>
      </c>
      <c r="G62" s="69" t="s">
        <v>144</v>
      </c>
    </row>
    <row r="63" spans="1:7" x14ac:dyDescent="0.25">
      <c r="A63" s="74">
        <v>0.77083333333333337</v>
      </c>
      <c r="B63" s="68" t="s">
        <v>138</v>
      </c>
      <c r="C63" s="68" t="s">
        <v>232</v>
      </c>
      <c r="D63" s="68" t="s">
        <v>231</v>
      </c>
      <c r="E63" s="68" t="s">
        <v>12</v>
      </c>
      <c r="F63" s="73">
        <v>1.83</v>
      </c>
      <c r="G63" s="69" t="s">
        <v>144</v>
      </c>
    </row>
    <row r="64" spans="1:7" x14ac:dyDescent="0.25">
      <c r="A64" s="74">
        <v>0.75</v>
      </c>
      <c r="B64" s="68" t="s">
        <v>140</v>
      </c>
      <c r="C64" s="68" t="s">
        <v>213</v>
      </c>
      <c r="D64" s="68" t="s">
        <v>217</v>
      </c>
      <c r="E64" s="68" t="s">
        <v>234</v>
      </c>
      <c r="F64" s="73">
        <v>1.66</v>
      </c>
      <c r="G64" s="69" t="s">
        <v>144</v>
      </c>
    </row>
    <row r="65" spans="1:7" x14ac:dyDescent="0.25">
      <c r="A65" s="74">
        <v>0.91666666666666663</v>
      </c>
      <c r="B65" s="68" t="s">
        <v>147</v>
      </c>
      <c r="C65" s="68" t="s">
        <v>126</v>
      </c>
      <c r="D65" s="68" t="s">
        <v>233</v>
      </c>
      <c r="E65" s="68" t="s">
        <v>235</v>
      </c>
      <c r="F65" s="73">
        <v>1.5</v>
      </c>
      <c r="G65" s="69" t="s">
        <v>143</v>
      </c>
    </row>
    <row r="66" spans="1:7" ht="29.25" thickBot="1" x14ac:dyDescent="0.5">
      <c r="A66" s="175" t="s">
        <v>144</v>
      </c>
      <c r="B66" s="176"/>
      <c r="C66" s="177"/>
      <c r="D66" s="172">
        <f>IFERROR(COUNTIF(G58:G65,"GREEN")/COUNTA(G58:G65),0)</f>
        <v>0.875</v>
      </c>
      <c r="E66" s="173"/>
      <c r="F66" s="173"/>
      <c r="G66" s="174"/>
    </row>
    <row r="67" spans="1:7" ht="15.75" thickBot="1" x14ac:dyDescent="0.3"/>
    <row r="68" spans="1:7" ht="28.5" x14ac:dyDescent="0.45">
      <c r="A68" s="169" t="s">
        <v>237</v>
      </c>
      <c r="B68" s="170"/>
      <c r="C68" s="170"/>
      <c r="D68" s="170"/>
      <c r="E68" s="170"/>
      <c r="F68" s="170"/>
      <c r="G68" s="171"/>
    </row>
    <row r="69" spans="1:7" x14ac:dyDescent="0.25">
      <c r="A69" s="70" t="s">
        <v>130</v>
      </c>
      <c r="B69" s="71" t="s">
        <v>131</v>
      </c>
      <c r="C69" s="179" t="s">
        <v>132</v>
      </c>
      <c r="D69" s="180"/>
      <c r="E69" s="71" t="s">
        <v>135</v>
      </c>
      <c r="F69" s="71" t="s">
        <v>17</v>
      </c>
      <c r="G69" s="72" t="s">
        <v>133</v>
      </c>
    </row>
    <row r="70" spans="1:7" x14ac:dyDescent="0.25">
      <c r="A70" s="74">
        <v>0.54166666666666663</v>
      </c>
      <c r="B70" s="68" t="s">
        <v>138</v>
      </c>
      <c r="C70" s="68" t="s">
        <v>238</v>
      </c>
      <c r="D70" s="68" t="s">
        <v>239</v>
      </c>
      <c r="E70" s="68" t="s">
        <v>13</v>
      </c>
      <c r="F70" s="73">
        <v>1.4</v>
      </c>
      <c r="G70" s="69" t="s">
        <v>144</v>
      </c>
    </row>
    <row r="71" spans="1:7" x14ac:dyDescent="0.25">
      <c r="A71" s="74">
        <v>0.54166666666666663</v>
      </c>
      <c r="B71" s="68" t="s">
        <v>240</v>
      </c>
      <c r="C71" s="68" t="s">
        <v>241</v>
      </c>
      <c r="D71" s="68" t="s">
        <v>242</v>
      </c>
      <c r="E71" s="68" t="s">
        <v>11</v>
      </c>
      <c r="F71" s="73">
        <v>1.3</v>
      </c>
      <c r="G71" s="69" t="s">
        <v>144</v>
      </c>
    </row>
    <row r="72" spans="1:7" x14ac:dyDescent="0.25">
      <c r="A72" s="74">
        <v>0.54166666666666663</v>
      </c>
      <c r="B72" s="68" t="s">
        <v>187</v>
      </c>
      <c r="C72" s="68" t="s">
        <v>243</v>
      </c>
      <c r="D72" s="68" t="s">
        <v>244</v>
      </c>
      <c r="E72" s="68" t="s">
        <v>22</v>
      </c>
      <c r="F72" s="73">
        <v>1.4</v>
      </c>
      <c r="G72" s="69" t="s">
        <v>144</v>
      </c>
    </row>
    <row r="73" spans="1:7" x14ac:dyDescent="0.25">
      <c r="A73" s="74">
        <v>0.54166666666666663</v>
      </c>
      <c r="B73" s="68" t="s">
        <v>187</v>
      </c>
      <c r="C73" s="68" t="s">
        <v>243</v>
      </c>
      <c r="D73" s="68" t="s">
        <v>244</v>
      </c>
      <c r="E73" s="68" t="s">
        <v>13</v>
      </c>
      <c r="F73" s="73">
        <v>2.75</v>
      </c>
      <c r="G73" s="69" t="s">
        <v>143</v>
      </c>
    </row>
    <row r="74" spans="1:7" x14ac:dyDescent="0.25">
      <c r="A74" s="74">
        <v>0.54166666666666663</v>
      </c>
      <c r="B74" s="68" t="s">
        <v>187</v>
      </c>
      <c r="C74" s="68" t="s">
        <v>245</v>
      </c>
      <c r="D74" s="68" t="s">
        <v>246</v>
      </c>
      <c r="E74" s="68" t="s">
        <v>247</v>
      </c>
      <c r="F74" s="73">
        <v>1.53</v>
      </c>
      <c r="G74" s="69" t="s">
        <v>144</v>
      </c>
    </row>
    <row r="75" spans="1:7" x14ac:dyDescent="0.25">
      <c r="A75" s="74">
        <v>0.54166666666666663</v>
      </c>
      <c r="B75" s="68" t="s">
        <v>187</v>
      </c>
      <c r="C75" s="68" t="s">
        <v>245</v>
      </c>
      <c r="D75" s="68" t="s">
        <v>246</v>
      </c>
      <c r="E75" s="68" t="s">
        <v>46</v>
      </c>
      <c r="F75" s="73">
        <v>1.53</v>
      </c>
      <c r="G75" s="69" t="s">
        <v>144</v>
      </c>
    </row>
    <row r="76" spans="1:7" x14ac:dyDescent="0.25">
      <c r="A76" s="74">
        <v>0.54166666666666663</v>
      </c>
      <c r="B76" s="68" t="s">
        <v>240</v>
      </c>
      <c r="C76" s="68" t="s">
        <v>248</v>
      </c>
      <c r="D76" s="68" t="s">
        <v>249</v>
      </c>
      <c r="E76" s="68" t="s">
        <v>15</v>
      </c>
      <c r="F76" s="73">
        <v>2.1</v>
      </c>
      <c r="G76" s="69" t="s">
        <v>144</v>
      </c>
    </row>
    <row r="77" spans="1:7" x14ac:dyDescent="0.25">
      <c r="A77" s="74">
        <v>0.54166666666666663</v>
      </c>
      <c r="B77" s="68" t="s">
        <v>240</v>
      </c>
      <c r="C77" s="68" t="s">
        <v>248</v>
      </c>
      <c r="D77" s="68" t="s">
        <v>249</v>
      </c>
      <c r="E77" s="68" t="s">
        <v>11</v>
      </c>
      <c r="F77" s="73">
        <v>2.1</v>
      </c>
      <c r="G77" s="69" t="s">
        <v>143</v>
      </c>
    </row>
    <row r="78" spans="1:7" x14ac:dyDescent="0.25">
      <c r="A78" s="74">
        <v>0.54166666666666663</v>
      </c>
      <c r="B78" s="68" t="s">
        <v>240</v>
      </c>
      <c r="C78" s="68" t="s">
        <v>250</v>
      </c>
      <c r="D78" s="68" t="s">
        <v>251</v>
      </c>
      <c r="E78" s="68" t="s">
        <v>15</v>
      </c>
      <c r="F78" s="73">
        <v>1.57</v>
      </c>
      <c r="G78" s="69" t="s">
        <v>144</v>
      </c>
    </row>
    <row r="79" spans="1:7" x14ac:dyDescent="0.25">
      <c r="A79" s="74">
        <v>0.54166666666666663</v>
      </c>
      <c r="B79" s="68" t="s">
        <v>240</v>
      </c>
      <c r="C79" s="68" t="s">
        <v>250</v>
      </c>
      <c r="D79" s="68" t="s">
        <v>251</v>
      </c>
      <c r="E79" s="68" t="s">
        <v>12</v>
      </c>
      <c r="F79" s="73">
        <v>2</v>
      </c>
      <c r="G79" s="69" t="s">
        <v>143</v>
      </c>
    </row>
    <row r="80" spans="1:7" x14ac:dyDescent="0.25">
      <c r="A80" s="74">
        <v>0.54166666666666663</v>
      </c>
      <c r="B80" s="68" t="s">
        <v>187</v>
      </c>
      <c r="C80" s="68" t="s">
        <v>252</v>
      </c>
      <c r="D80" s="68" t="s">
        <v>253</v>
      </c>
      <c r="E80" s="68" t="s">
        <v>11</v>
      </c>
      <c r="F80" s="73">
        <v>1.4</v>
      </c>
      <c r="G80" s="69" t="s">
        <v>144</v>
      </c>
    </row>
    <row r="81" spans="1:7" x14ac:dyDescent="0.25">
      <c r="A81" s="74">
        <v>0.54166666666666663</v>
      </c>
      <c r="B81" s="68" t="s">
        <v>134</v>
      </c>
      <c r="C81" s="68" t="s">
        <v>254</v>
      </c>
      <c r="D81" s="68" t="s">
        <v>255</v>
      </c>
      <c r="E81" s="68" t="s">
        <v>11</v>
      </c>
      <c r="F81" s="73">
        <v>1.44</v>
      </c>
      <c r="G81" s="69" t="s">
        <v>144</v>
      </c>
    </row>
    <row r="82" spans="1:7" x14ac:dyDescent="0.25">
      <c r="A82" s="74">
        <v>0.54166666666666663</v>
      </c>
      <c r="B82" s="68" t="s">
        <v>256</v>
      </c>
      <c r="C82" s="68" t="s">
        <v>257</v>
      </c>
      <c r="D82" s="68" t="s">
        <v>258</v>
      </c>
      <c r="E82" s="68" t="s">
        <v>11</v>
      </c>
      <c r="F82" s="73">
        <v>1.4</v>
      </c>
      <c r="G82" s="69" t="s">
        <v>144</v>
      </c>
    </row>
    <row r="83" spans="1:7" x14ac:dyDescent="0.25">
      <c r="A83" s="74">
        <v>0.54166666666666663</v>
      </c>
      <c r="B83" s="68" t="s">
        <v>259</v>
      </c>
      <c r="C83" s="68" t="s">
        <v>260</v>
      </c>
      <c r="D83" s="68" t="s">
        <v>261</v>
      </c>
      <c r="E83" s="68" t="s">
        <v>13</v>
      </c>
      <c r="F83" s="73">
        <v>1.53</v>
      </c>
      <c r="G83" s="69" t="s">
        <v>143</v>
      </c>
    </row>
    <row r="84" spans="1:7" x14ac:dyDescent="0.25">
      <c r="A84" s="74">
        <v>0.54166666666666663</v>
      </c>
      <c r="B84" s="68" t="s">
        <v>259</v>
      </c>
      <c r="C84" s="68" t="s">
        <v>260</v>
      </c>
      <c r="D84" s="68" t="s">
        <v>261</v>
      </c>
      <c r="E84" s="68" t="s">
        <v>11</v>
      </c>
      <c r="F84" s="73">
        <v>3.5</v>
      </c>
      <c r="G84" s="69" t="s">
        <v>143</v>
      </c>
    </row>
    <row r="85" spans="1:7" x14ac:dyDescent="0.25">
      <c r="A85" s="74">
        <v>0.54166666666666663</v>
      </c>
      <c r="B85" s="68" t="s">
        <v>265</v>
      </c>
      <c r="C85" s="68" t="s">
        <v>262</v>
      </c>
      <c r="D85" s="68" t="s">
        <v>263</v>
      </c>
      <c r="E85" s="68" t="s">
        <v>264</v>
      </c>
      <c r="F85" s="73">
        <v>1.72</v>
      </c>
      <c r="G85" s="69" t="s">
        <v>144</v>
      </c>
    </row>
    <row r="86" spans="1:7" ht="29.25" thickBot="1" x14ac:dyDescent="0.5">
      <c r="A86" s="175" t="s">
        <v>144</v>
      </c>
      <c r="B86" s="176"/>
      <c r="C86" s="177"/>
      <c r="D86" s="172">
        <f>IFERROR(COUNTIF(G70:G85,"GREEN")/COUNTA(G70:G85),0)</f>
        <v>0.6875</v>
      </c>
      <c r="E86" s="173"/>
      <c r="F86" s="173"/>
      <c r="G86" s="174"/>
    </row>
  </sheetData>
  <mergeCells count="20">
    <mergeCell ref="A68:G68"/>
    <mergeCell ref="C69:D69"/>
    <mergeCell ref="A86:C86"/>
    <mergeCell ref="D86:G86"/>
    <mergeCell ref="A56:G56"/>
    <mergeCell ref="C57:D57"/>
    <mergeCell ref="A66:C66"/>
    <mergeCell ref="D66:G66"/>
    <mergeCell ref="A39:G39"/>
    <mergeCell ref="A54:C54"/>
    <mergeCell ref="D54:G54"/>
    <mergeCell ref="C40:D40"/>
    <mergeCell ref="A37:C37"/>
    <mergeCell ref="D37:G37"/>
    <mergeCell ref="A1:G1"/>
    <mergeCell ref="D20:G20"/>
    <mergeCell ref="A20:C20"/>
    <mergeCell ref="A22:G22"/>
    <mergeCell ref="C23:D23"/>
    <mergeCell ref="C2:D2"/>
  </mergeCells>
  <conditionalFormatting sqref="G3:G19 G58:G65">
    <cfRule type="containsText" dxfId="8" priority="9" operator="containsText" text="RED">
      <formula>NOT(ISERROR(SEARCH("RED",G3)))</formula>
    </cfRule>
    <cfRule type="containsText" dxfId="7" priority="10" operator="containsText" text="GREEN">
      <formula>NOT(ISERROR(SEARCH("GREEN",G3)))</formula>
    </cfRule>
  </conditionalFormatting>
  <conditionalFormatting sqref="G24:G36">
    <cfRule type="containsText" dxfId="6" priority="7" operator="containsText" text="RED">
      <formula>NOT(ISERROR(SEARCH("RED",G24)))</formula>
    </cfRule>
    <cfRule type="containsText" dxfId="5" priority="8" operator="containsText" text="GREEN">
      <formula>NOT(ISERROR(SEARCH("GREEN",G24)))</formula>
    </cfRule>
  </conditionalFormatting>
  <conditionalFormatting sqref="G41:G53">
    <cfRule type="containsText" dxfId="4" priority="5" operator="containsText" text="RED">
      <formula>NOT(ISERROR(SEARCH("RED",G41)))</formula>
    </cfRule>
    <cfRule type="containsText" dxfId="3" priority="6" operator="containsText" text="GREEN">
      <formula>NOT(ISERROR(SEARCH("GREEN",G41)))</formula>
    </cfRule>
  </conditionalFormatting>
  <conditionalFormatting sqref="G70:G85">
    <cfRule type="containsText" dxfId="2" priority="1" operator="containsText" text="RED">
      <formula>NOT(ISERROR(SEARCH("RED",G70)))</formula>
    </cfRule>
    <cfRule type="containsText" dxfId="1" priority="2" operator="containsText" text="GREEN">
      <formula>NOT(ISERROR(SEARCH("GREEN",G70)))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Q196"/>
  <sheetViews>
    <sheetView workbookViewId="0">
      <selection activeCell="B7" sqref="B7"/>
    </sheetView>
  </sheetViews>
  <sheetFormatPr defaultRowHeight="15" x14ac:dyDescent="0.25"/>
  <cols>
    <col min="1" max="1" width="16.85546875" bestFit="1" customWidth="1"/>
    <col min="2" max="4" width="16.7109375" customWidth="1"/>
    <col min="5" max="5" width="19.7109375" bestFit="1" customWidth="1"/>
    <col min="6" max="7" width="16.7109375" customWidth="1"/>
    <col min="9" max="9" width="15" hidden="1" customWidth="1"/>
    <col min="10" max="10" width="13.140625" hidden="1" customWidth="1"/>
    <col min="11" max="11" width="0" hidden="1" customWidth="1"/>
    <col min="12" max="12" width="21" hidden="1" customWidth="1"/>
    <col min="13" max="13" width="12.140625" bestFit="1" customWidth="1"/>
    <col min="14" max="14" width="12.140625" customWidth="1"/>
    <col min="15" max="15" width="17.28515625" bestFit="1" customWidth="1"/>
    <col min="16" max="16" width="10.5703125" bestFit="1" customWidth="1"/>
  </cols>
  <sheetData>
    <row r="1" spans="1:17" ht="15.75" thickBot="1" x14ac:dyDescent="0.3">
      <c r="A1" s="181" t="s">
        <v>65</v>
      </c>
      <c r="B1" s="182"/>
      <c r="C1" s="182"/>
      <c r="D1" s="182"/>
      <c r="E1" s="182"/>
      <c r="F1" s="182"/>
      <c r="G1" s="183"/>
      <c r="I1" s="38" t="s">
        <v>64</v>
      </c>
      <c r="J1" s="38" t="s">
        <v>63</v>
      </c>
      <c r="L1" s="38" t="s">
        <v>62</v>
      </c>
    </row>
    <row r="2" spans="1:17" x14ac:dyDescent="0.25">
      <c r="A2" s="37" t="s">
        <v>61</v>
      </c>
      <c r="B2" s="36" t="s">
        <v>60</v>
      </c>
      <c r="C2" s="36" t="s">
        <v>59</v>
      </c>
      <c r="D2" s="36" t="s">
        <v>58</v>
      </c>
      <c r="E2" s="36" t="s">
        <v>57</v>
      </c>
      <c r="F2" s="36" t="s">
        <v>56</v>
      </c>
      <c r="G2" s="35" t="s">
        <v>55</v>
      </c>
      <c r="H2" s="13"/>
      <c r="I2" s="1" t="s">
        <v>46</v>
      </c>
      <c r="J2" s="1">
        <v>2</v>
      </c>
      <c r="L2" s="1" t="s">
        <v>54</v>
      </c>
      <c r="M2" s="58"/>
      <c r="N2" s="64"/>
      <c r="O2" s="61"/>
      <c r="P2" s="62"/>
      <c r="Q2" s="64"/>
    </row>
    <row r="3" spans="1:17" ht="15.75" thickBot="1" x14ac:dyDescent="0.3">
      <c r="A3" s="34" t="s">
        <v>28</v>
      </c>
      <c r="B3" s="33">
        <v>1</v>
      </c>
      <c r="C3" s="33">
        <v>1</v>
      </c>
      <c r="D3" s="33">
        <v>1</v>
      </c>
      <c r="E3" s="32">
        <v>100</v>
      </c>
      <c r="F3" s="31">
        <f>D3*E3</f>
        <v>100</v>
      </c>
      <c r="G3" s="30">
        <f>F3*2</f>
        <v>200</v>
      </c>
      <c r="H3" s="13"/>
      <c r="I3" s="1" t="s">
        <v>44</v>
      </c>
      <c r="J3" s="1">
        <v>3</v>
      </c>
      <c r="L3" s="1" t="s">
        <v>53</v>
      </c>
      <c r="M3" s="58"/>
      <c r="N3" s="64"/>
      <c r="O3" s="61"/>
      <c r="P3" s="62"/>
      <c r="Q3" s="64"/>
    </row>
    <row r="4" spans="1:17" x14ac:dyDescent="0.25">
      <c r="A4" s="13"/>
      <c r="B4" s="13"/>
      <c r="C4" s="13"/>
      <c r="D4" s="13"/>
      <c r="E4" s="13"/>
      <c r="F4" s="13"/>
      <c r="G4" s="13"/>
      <c r="H4" s="13"/>
      <c r="I4" s="1" t="s">
        <v>52</v>
      </c>
      <c r="J4" s="1">
        <v>4</v>
      </c>
      <c r="L4" s="1" t="s">
        <v>3</v>
      </c>
      <c r="M4" s="58"/>
      <c r="N4" s="64"/>
      <c r="O4" s="61"/>
      <c r="P4" s="62"/>
      <c r="Q4" s="64"/>
    </row>
    <row r="5" spans="1:17" ht="15.75" thickBot="1" x14ac:dyDescent="0.3">
      <c r="A5" s="184" t="s">
        <v>51</v>
      </c>
      <c r="B5" s="185"/>
      <c r="C5" s="185"/>
      <c r="D5" s="13"/>
      <c r="E5" s="13"/>
      <c r="H5" s="13"/>
      <c r="I5" s="1" t="s">
        <v>40</v>
      </c>
      <c r="J5" s="1">
        <v>1</v>
      </c>
      <c r="L5" s="1" t="s">
        <v>50</v>
      </c>
      <c r="M5" s="58"/>
      <c r="N5" s="64"/>
      <c r="O5" s="61"/>
      <c r="P5" s="62"/>
      <c r="Q5" s="64"/>
    </row>
    <row r="6" spans="1:17" ht="15.75" thickBot="1" x14ac:dyDescent="0.3">
      <c r="A6" s="29" t="s">
        <v>49</v>
      </c>
      <c r="B6" s="28" t="s">
        <v>17</v>
      </c>
      <c r="C6" s="27" t="s">
        <v>18</v>
      </c>
      <c r="D6" s="26" t="s">
        <v>48</v>
      </c>
      <c r="E6" s="25" t="s">
        <v>47</v>
      </c>
      <c r="H6" s="13"/>
      <c r="I6" s="1" t="s">
        <v>38</v>
      </c>
      <c r="J6" s="1">
        <v>1</v>
      </c>
      <c r="L6" s="1" t="s">
        <v>9</v>
      </c>
      <c r="M6" s="58"/>
      <c r="N6" s="64"/>
      <c r="O6" s="61"/>
      <c r="P6" s="62"/>
      <c r="Q6" s="64"/>
    </row>
    <row r="7" spans="1:17" x14ac:dyDescent="0.25">
      <c r="A7" s="24">
        <v>1</v>
      </c>
      <c r="B7" s="23">
        <v>1.5</v>
      </c>
      <c r="C7" s="22">
        <f t="shared" ref="C7:C20" si="0">1/B7</f>
        <v>0.66666666666666663</v>
      </c>
      <c r="D7" s="15" t="s">
        <v>46</v>
      </c>
      <c r="E7" s="14">
        <f>IF(A3="DUPLA",(B7*B8)*G12,0)</f>
        <v>0</v>
      </c>
      <c r="H7" s="13"/>
      <c r="I7" s="1" t="s">
        <v>45</v>
      </c>
      <c r="J7" s="1">
        <v>1</v>
      </c>
      <c r="L7" s="1" t="s">
        <v>10</v>
      </c>
      <c r="M7" s="58"/>
      <c r="N7" s="64"/>
      <c r="O7" s="61"/>
      <c r="P7" s="62"/>
      <c r="Q7" s="64"/>
    </row>
    <row r="8" spans="1:17" x14ac:dyDescent="0.25">
      <c r="A8" s="12">
        <v>2</v>
      </c>
      <c r="B8" s="11">
        <v>1.5</v>
      </c>
      <c r="C8" s="10">
        <f t="shared" si="0"/>
        <v>0.66666666666666663</v>
      </c>
      <c r="D8" s="15" t="s">
        <v>44</v>
      </c>
      <c r="E8" s="14">
        <f>IF(A3="TRIPLA",(B7*B8*B9)*G12,0)</f>
        <v>0</v>
      </c>
      <c r="H8" s="13"/>
      <c r="I8" s="1" t="s">
        <v>43</v>
      </c>
      <c r="J8" s="1">
        <v>1</v>
      </c>
      <c r="L8" s="1" t="s">
        <v>22</v>
      </c>
      <c r="M8" s="58"/>
      <c r="N8" s="64"/>
      <c r="O8" s="61"/>
      <c r="P8" s="62"/>
      <c r="Q8" s="64"/>
    </row>
    <row r="9" spans="1:17" x14ac:dyDescent="0.25">
      <c r="A9" s="12">
        <v>3</v>
      </c>
      <c r="B9" s="11">
        <v>1.5</v>
      </c>
      <c r="C9" s="10">
        <f t="shared" si="0"/>
        <v>0.66666666666666663</v>
      </c>
      <c r="D9" s="15" t="s">
        <v>42</v>
      </c>
      <c r="E9" s="14">
        <f>IF(A3="QUADRA",(B7*B8*B9*B10)*G12,0)</f>
        <v>0</v>
      </c>
      <c r="H9" s="13"/>
      <c r="I9" s="1" t="s">
        <v>41</v>
      </c>
      <c r="J9" s="1">
        <v>1</v>
      </c>
      <c r="L9" s="1" t="s">
        <v>13</v>
      </c>
      <c r="M9" s="58"/>
      <c r="N9" s="64"/>
      <c r="O9" s="61"/>
      <c r="P9" s="62"/>
      <c r="Q9" s="64"/>
    </row>
    <row r="10" spans="1:17" ht="15.75" thickBot="1" x14ac:dyDescent="0.3">
      <c r="A10" s="12">
        <v>4</v>
      </c>
      <c r="B10" s="11">
        <v>1.5</v>
      </c>
      <c r="C10" s="10">
        <f t="shared" si="0"/>
        <v>0.66666666666666663</v>
      </c>
      <c r="D10" s="15" t="s">
        <v>40</v>
      </c>
      <c r="E10" s="14">
        <f>IF(A3="ACUMULADA 5",(B7*B8*B9*B10*B11)*E3,0)</f>
        <v>0</v>
      </c>
      <c r="H10" s="13"/>
      <c r="I10" s="1" t="s">
        <v>39</v>
      </c>
      <c r="J10" s="1">
        <v>1</v>
      </c>
      <c r="L10" s="1" t="s">
        <v>11</v>
      </c>
      <c r="M10" s="58"/>
      <c r="N10" s="64"/>
      <c r="O10" s="61"/>
      <c r="P10" s="62"/>
      <c r="Q10" s="64"/>
    </row>
    <row r="11" spans="1:17" x14ac:dyDescent="0.25">
      <c r="A11" s="12">
        <v>5</v>
      </c>
      <c r="B11" s="11">
        <v>1.5</v>
      </c>
      <c r="C11" s="10">
        <f t="shared" si="0"/>
        <v>0.66666666666666663</v>
      </c>
      <c r="D11" s="15" t="s">
        <v>38</v>
      </c>
      <c r="E11" s="14">
        <f>IF(A3="ACUMULADA 6",(B7*B8*B9*B10*B11*B12)*E3,0)</f>
        <v>0</v>
      </c>
      <c r="F11" s="21" t="s">
        <v>37</v>
      </c>
      <c r="G11" s="20">
        <v>0</v>
      </c>
      <c r="H11" s="13"/>
      <c r="I11" s="1" t="s">
        <v>36</v>
      </c>
      <c r="J11" s="1">
        <v>1</v>
      </c>
      <c r="L11" s="1" t="s">
        <v>12</v>
      </c>
      <c r="M11" s="58"/>
      <c r="N11" s="64"/>
      <c r="O11" s="61"/>
      <c r="P11" s="62"/>
      <c r="Q11" s="64"/>
    </row>
    <row r="12" spans="1:17" x14ac:dyDescent="0.25">
      <c r="A12" s="12">
        <v>6</v>
      </c>
      <c r="B12" s="11">
        <v>1.5</v>
      </c>
      <c r="C12" s="10">
        <f t="shared" si="0"/>
        <v>0.66666666666666663</v>
      </c>
      <c r="D12" s="15" t="s">
        <v>35</v>
      </c>
      <c r="E12" s="14">
        <f>IF(A3="ACUMULADA 7",(B7*B8*B9*B10*B11*B12*B13)*E3,0)</f>
        <v>0</v>
      </c>
      <c r="F12" s="19" t="s">
        <v>34</v>
      </c>
      <c r="G12" s="18">
        <f>F3</f>
        <v>100</v>
      </c>
      <c r="H12" s="13"/>
      <c r="I12" s="1" t="s">
        <v>33</v>
      </c>
      <c r="J12" s="1">
        <v>1</v>
      </c>
      <c r="L12" s="1" t="s">
        <v>21</v>
      </c>
      <c r="M12" s="58"/>
      <c r="N12" s="64"/>
      <c r="O12" s="61"/>
      <c r="P12" s="62"/>
      <c r="Q12" s="64"/>
    </row>
    <row r="13" spans="1:17" ht="15.75" thickBot="1" x14ac:dyDescent="0.3">
      <c r="A13" s="12">
        <v>7</v>
      </c>
      <c r="B13" s="11">
        <v>1.5</v>
      </c>
      <c r="C13" s="10">
        <f t="shared" si="0"/>
        <v>0.66666666666666663</v>
      </c>
      <c r="D13" s="15" t="s">
        <v>32</v>
      </c>
      <c r="E13" s="14">
        <f>IF(A3="ACUMULADA 8",(B7*B8*B9*B10*B11*B12*B13*B14)*E3,0)</f>
        <v>0</v>
      </c>
      <c r="F13" s="17" t="s">
        <v>31</v>
      </c>
      <c r="G13" s="16">
        <f>G11-G12</f>
        <v>-100</v>
      </c>
      <c r="H13" s="13"/>
      <c r="I13" s="1" t="s">
        <v>30</v>
      </c>
      <c r="J13" s="1">
        <v>1</v>
      </c>
      <c r="L13" s="1" t="s">
        <v>20</v>
      </c>
      <c r="M13" s="58"/>
      <c r="N13" s="64"/>
      <c r="O13" s="61"/>
      <c r="P13" s="62"/>
      <c r="Q13" s="64"/>
    </row>
    <row r="14" spans="1:17" x14ac:dyDescent="0.25">
      <c r="A14" s="12">
        <v>8</v>
      </c>
      <c r="B14" s="11">
        <v>1.5</v>
      </c>
      <c r="C14" s="10">
        <f t="shared" si="0"/>
        <v>0.66666666666666663</v>
      </c>
      <c r="D14" s="15" t="s">
        <v>29</v>
      </c>
      <c r="E14" s="14">
        <f>IF(A3="ACUMULADA 9",(B7*B8*B9*B10*B11*B12*B13*B14*B15)*E3,0)</f>
        <v>0</v>
      </c>
      <c r="H14" s="13"/>
      <c r="I14" s="1" t="s">
        <v>28</v>
      </c>
      <c r="J14" s="1">
        <v>1</v>
      </c>
      <c r="L14" s="1" t="s">
        <v>19</v>
      </c>
      <c r="M14" s="58"/>
      <c r="N14" s="64"/>
      <c r="O14" s="61"/>
      <c r="P14" s="62"/>
      <c r="Q14" s="64"/>
    </row>
    <row r="15" spans="1:17" x14ac:dyDescent="0.25">
      <c r="A15" s="12">
        <v>9</v>
      </c>
      <c r="B15" s="11">
        <v>1.5</v>
      </c>
      <c r="C15" s="10">
        <f t="shared" si="0"/>
        <v>0.66666666666666663</v>
      </c>
      <c r="D15" s="15" t="s">
        <v>27</v>
      </c>
      <c r="E15" s="14">
        <f>IF(A3="ACUMULADA 10",(B7*B8*B9*B10*B11*B12*B13*B14*B15*B16)*E3,0)</f>
        <v>0</v>
      </c>
      <c r="H15" s="13"/>
      <c r="M15" s="58"/>
      <c r="N15" s="64"/>
      <c r="O15" s="61"/>
      <c r="P15" s="62"/>
      <c r="Q15" s="64"/>
    </row>
    <row r="16" spans="1:17" x14ac:dyDescent="0.25">
      <c r="A16" s="12">
        <v>10</v>
      </c>
      <c r="B16" s="11">
        <v>1.5</v>
      </c>
      <c r="C16" s="10">
        <f t="shared" si="0"/>
        <v>0.66666666666666663</v>
      </c>
      <c r="D16" s="15" t="s">
        <v>26</v>
      </c>
      <c r="E16" s="14">
        <f>IF(A3="ACUMULADA 11",(B7*B8*B9*B10*B11*B12*B13*B14*B15*B16*B17)*E3,0)</f>
        <v>0</v>
      </c>
      <c r="H16" s="13"/>
      <c r="M16" s="58"/>
      <c r="N16" s="64"/>
      <c r="O16" s="61"/>
      <c r="P16" s="62"/>
      <c r="Q16" s="64"/>
    </row>
    <row r="17" spans="1:17" x14ac:dyDescent="0.25">
      <c r="A17" s="12">
        <v>11</v>
      </c>
      <c r="B17" s="11">
        <v>1.5</v>
      </c>
      <c r="C17" s="10">
        <f t="shared" si="0"/>
        <v>0.66666666666666663</v>
      </c>
      <c r="D17" s="15" t="s">
        <v>25</v>
      </c>
      <c r="E17" s="14">
        <f>IF(A3="ACUMULADA 12",(B7*B8*B9*B10*B11*B12*B13*B14*B15*B16*B17*B18)*E3,0)</f>
        <v>0</v>
      </c>
      <c r="H17" s="13"/>
      <c r="M17" s="58"/>
      <c r="N17" s="64"/>
      <c r="O17" s="61"/>
      <c r="P17" s="62"/>
      <c r="Q17" s="64"/>
    </row>
    <row r="18" spans="1:17" x14ac:dyDescent="0.25">
      <c r="A18" s="12">
        <v>12</v>
      </c>
      <c r="B18" s="11">
        <v>1.5</v>
      </c>
      <c r="C18" s="10">
        <f t="shared" si="0"/>
        <v>0.66666666666666663</v>
      </c>
      <c r="D18" s="15" t="s">
        <v>24</v>
      </c>
      <c r="E18" s="14">
        <f>IF(A3="ACUMULADA 13",(B7*B8*B9*B10*B11*B12*B13*B14*B15*B16*B17*B18*B19)*E3,0)</f>
        <v>0</v>
      </c>
      <c r="O18" s="62"/>
      <c r="P18" s="62"/>
      <c r="Q18" s="63"/>
    </row>
    <row r="19" spans="1:17" ht="15.75" thickBot="1" x14ac:dyDescent="0.3">
      <c r="A19" s="12">
        <v>13</v>
      </c>
      <c r="B19" s="11">
        <v>1.5</v>
      </c>
      <c r="C19" s="10">
        <f t="shared" si="0"/>
        <v>0.66666666666666663</v>
      </c>
      <c r="D19" s="9" t="s">
        <v>23</v>
      </c>
      <c r="E19" s="8">
        <f>IF(A3="ACUMULADA 14",(B7*B8*B9*B10*B11*B12*B13*B14*B15*B16*B17*B18*B19*B20)*E3,0)</f>
        <v>29192.926025390625</v>
      </c>
    </row>
    <row r="20" spans="1:17" ht="15.75" thickBot="1" x14ac:dyDescent="0.3">
      <c r="A20" s="7">
        <v>14</v>
      </c>
      <c r="B20" s="6">
        <v>1.5</v>
      </c>
      <c r="C20" s="5">
        <f t="shared" si="0"/>
        <v>0.66666666666666663</v>
      </c>
      <c r="O20" s="61"/>
      <c r="Q20" s="63"/>
    </row>
    <row r="21" spans="1:17" x14ac:dyDescent="0.25">
      <c r="A21" s="1"/>
    </row>
    <row r="22" spans="1:17" x14ac:dyDescent="0.25">
      <c r="A22" s="1"/>
    </row>
    <row r="23" spans="1:17" x14ac:dyDescent="0.25">
      <c r="A23" s="1"/>
    </row>
    <row r="24" spans="1:17" x14ac:dyDescent="0.25">
      <c r="A24" s="1"/>
    </row>
    <row r="25" spans="1:17" x14ac:dyDescent="0.25">
      <c r="A25" s="1"/>
    </row>
    <row r="26" spans="1:17" x14ac:dyDescent="0.25">
      <c r="A26" s="1"/>
    </row>
    <row r="27" spans="1:17" x14ac:dyDescent="0.25">
      <c r="A27" s="1"/>
    </row>
    <row r="28" spans="1:17" x14ac:dyDescent="0.25">
      <c r="A28" s="1"/>
    </row>
    <row r="29" spans="1:17" x14ac:dyDescent="0.25">
      <c r="A29" s="1"/>
    </row>
    <row r="30" spans="1:17" x14ac:dyDescent="0.25">
      <c r="A30" s="1"/>
    </row>
    <row r="31" spans="1:17" x14ac:dyDescent="0.25">
      <c r="A31" s="1"/>
    </row>
    <row r="32" spans="1:1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</sheetData>
  <mergeCells count="2">
    <mergeCell ref="A1:G1"/>
    <mergeCell ref="A5:C5"/>
  </mergeCells>
  <conditionalFormatting sqref="E7:E19">
    <cfRule type="cellIs" dxfId="0" priority="1" operator="greaterThan">
      <formula>1</formula>
    </cfRule>
  </conditionalFormatting>
  <dataValidations count="1">
    <dataValidation type="list" allowBlank="1" showInputMessage="1" showErrorMessage="1" sqref="A3" xr:uid="{00000000-0002-0000-0600-000000000000}">
      <formula1>$I$2:$I$14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"/>
  <dimension ref="A1:I21"/>
  <sheetViews>
    <sheetView zoomScaleNormal="100" workbookViewId="0">
      <selection activeCell="C12" sqref="C12"/>
    </sheetView>
  </sheetViews>
  <sheetFormatPr defaultRowHeight="15" x14ac:dyDescent="0.25"/>
  <cols>
    <col min="1" max="1" width="14" bestFit="1" customWidth="1"/>
    <col min="2" max="2" width="14.28515625" bestFit="1" customWidth="1"/>
    <col min="4" max="4" width="14.7109375" style="1" customWidth="1"/>
    <col min="5" max="5" width="16.85546875" style="1" bestFit="1" customWidth="1"/>
    <col min="6" max="6" width="14.7109375" style="1" customWidth="1"/>
    <col min="7" max="8" width="16.85546875" style="1" bestFit="1" customWidth="1"/>
    <col min="9" max="9" width="16.85546875" bestFit="1" customWidth="1"/>
  </cols>
  <sheetData>
    <row r="1" spans="1:9" ht="15.75" thickBot="1" x14ac:dyDescent="0.3">
      <c r="A1" s="52" t="s">
        <v>71</v>
      </c>
      <c r="B1" s="53">
        <v>0</v>
      </c>
      <c r="D1" s="39" t="s">
        <v>75</v>
      </c>
      <c r="E1" s="40" t="s">
        <v>76</v>
      </c>
      <c r="F1" s="40" t="s">
        <v>77</v>
      </c>
      <c r="G1" s="40" t="s">
        <v>78</v>
      </c>
      <c r="H1" s="40" t="s">
        <v>79</v>
      </c>
      <c r="I1" s="41" t="s">
        <v>80</v>
      </c>
    </row>
    <row r="2" spans="1:9" ht="15.75" thickBot="1" x14ac:dyDescent="0.3">
      <c r="A2" s="52" t="s">
        <v>72</v>
      </c>
      <c r="B2" s="54">
        <v>789</v>
      </c>
      <c r="D2" s="42">
        <v>1</v>
      </c>
      <c r="E2" s="43">
        <v>100</v>
      </c>
      <c r="F2" s="50">
        <v>1.28</v>
      </c>
      <c r="G2" s="44">
        <f>E2*F2</f>
        <v>128</v>
      </c>
      <c r="H2" s="44">
        <f>G2-E2</f>
        <v>28</v>
      </c>
      <c r="I2" s="186">
        <v>5</v>
      </c>
    </row>
    <row r="3" spans="1:9" ht="15.75" thickBot="1" x14ac:dyDescent="0.3">
      <c r="A3" s="52" t="s">
        <v>73</v>
      </c>
      <c r="B3" s="54">
        <v>100</v>
      </c>
      <c r="D3" s="42">
        <v>2</v>
      </c>
      <c r="E3" s="43">
        <v>128</v>
      </c>
      <c r="F3" s="50">
        <v>1.28</v>
      </c>
      <c r="G3" s="44">
        <f t="shared" ref="G3:G21" si="0">E3*F3</f>
        <v>163.84</v>
      </c>
      <c r="H3" s="44">
        <f t="shared" ref="H3:H21" si="1">G3-E3</f>
        <v>35.840000000000003</v>
      </c>
      <c r="I3" s="187"/>
    </row>
    <row r="4" spans="1:9" ht="15.75" thickBot="1" x14ac:dyDescent="0.3">
      <c r="A4" s="52" t="s">
        <v>74</v>
      </c>
      <c r="B4" s="55">
        <v>20</v>
      </c>
      <c r="D4" s="42">
        <v>3</v>
      </c>
      <c r="E4" s="43">
        <v>163.84</v>
      </c>
      <c r="F4" s="50">
        <v>1.28</v>
      </c>
      <c r="G4" s="44">
        <f t="shared" si="0"/>
        <v>209.71520000000001</v>
      </c>
      <c r="H4" s="44">
        <f t="shared" si="1"/>
        <v>45.875200000000007</v>
      </c>
      <c r="I4" s="187"/>
    </row>
    <row r="5" spans="1:9" ht="15.75" thickBot="1" x14ac:dyDescent="0.3">
      <c r="A5" s="52" t="s">
        <v>267</v>
      </c>
      <c r="B5" s="77">
        <f>I21</f>
        <v>168.43680000000001</v>
      </c>
      <c r="D5" s="42">
        <v>4</v>
      </c>
      <c r="E5" s="43">
        <v>209.72</v>
      </c>
      <c r="F5" s="50">
        <v>1.28</v>
      </c>
      <c r="G5" s="44">
        <f t="shared" si="0"/>
        <v>268.44159999999999</v>
      </c>
      <c r="H5" s="44">
        <f t="shared" si="1"/>
        <v>58.721599999999995</v>
      </c>
      <c r="I5" s="188"/>
    </row>
    <row r="6" spans="1:9" ht="15.75" thickBot="1" x14ac:dyDescent="0.3">
      <c r="D6" s="42">
        <v>5</v>
      </c>
      <c r="E6" s="43">
        <v>0</v>
      </c>
      <c r="F6" s="50">
        <v>0</v>
      </c>
      <c r="G6" s="44">
        <f t="shared" si="0"/>
        <v>0</v>
      </c>
      <c r="H6" s="44">
        <f t="shared" si="1"/>
        <v>0</v>
      </c>
      <c r="I6" s="48">
        <f>SUM(H2:H6)</f>
        <v>168.43680000000001</v>
      </c>
    </row>
    <row r="7" spans="1:9" ht="15.75" thickBot="1" x14ac:dyDescent="0.3">
      <c r="D7" s="42">
        <v>6</v>
      </c>
      <c r="E7" s="43">
        <v>0</v>
      </c>
      <c r="F7" s="50">
        <v>0</v>
      </c>
      <c r="G7" s="44">
        <f t="shared" si="0"/>
        <v>0</v>
      </c>
      <c r="H7" s="44">
        <f t="shared" si="1"/>
        <v>0</v>
      </c>
      <c r="I7" s="186">
        <v>10</v>
      </c>
    </row>
    <row r="8" spans="1:9" ht="15.75" thickBot="1" x14ac:dyDescent="0.3">
      <c r="D8" s="42">
        <v>7</v>
      </c>
      <c r="E8" s="43">
        <v>0</v>
      </c>
      <c r="F8" s="50">
        <v>0</v>
      </c>
      <c r="G8" s="44">
        <f t="shared" si="0"/>
        <v>0</v>
      </c>
      <c r="H8" s="44">
        <f t="shared" si="1"/>
        <v>0</v>
      </c>
      <c r="I8" s="187"/>
    </row>
    <row r="9" spans="1:9" ht="15.75" thickBot="1" x14ac:dyDescent="0.3">
      <c r="D9" s="42">
        <v>8</v>
      </c>
      <c r="E9" s="43">
        <v>0</v>
      </c>
      <c r="F9" s="50">
        <v>0</v>
      </c>
      <c r="G9" s="44">
        <f t="shared" si="0"/>
        <v>0</v>
      </c>
      <c r="H9" s="44">
        <f t="shared" si="1"/>
        <v>0</v>
      </c>
      <c r="I9" s="187"/>
    </row>
    <row r="10" spans="1:9" ht="15.75" thickBot="1" x14ac:dyDescent="0.3">
      <c r="D10" s="42">
        <v>9</v>
      </c>
      <c r="E10" s="43">
        <f t="shared" ref="E10:E21" si="2">G9</f>
        <v>0</v>
      </c>
      <c r="F10" s="50">
        <v>0</v>
      </c>
      <c r="G10" s="44">
        <f t="shared" si="0"/>
        <v>0</v>
      </c>
      <c r="H10" s="44">
        <f t="shared" si="1"/>
        <v>0</v>
      </c>
      <c r="I10" s="188"/>
    </row>
    <row r="11" spans="1:9" ht="15.75" thickBot="1" x14ac:dyDescent="0.3">
      <c r="D11" s="42">
        <v>10</v>
      </c>
      <c r="E11" s="43">
        <f t="shared" si="2"/>
        <v>0</v>
      </c>
      <c r="F11" s="50">
        <v>0</v>
      </c>
      <c r="G11" s="44">
        <f t="shared" si="0"/>
        <v>0</v>
      </c>
      <c r="H11" s="44">
        <f t="shared" si="1"/>
        <v>0</v>
      </c>
      <c r="I11" s="48">
        <f>SUM(H2:H11)</f>
        <v>168.43680000000001</v>
      </c>
    </row>
    <row r="12" spans="1:9" ht="15.75" thickBot="1" x14ac:dyDescent="0.3">
      <c r="D12" s="42">
        <v>11</v>
      </c>
      <c r="E12" s="43">
        <f t="shared" si="2"/>
        <v>0</v>
      </c>
      <c r="F12" s="50">
        <v>0</v>
      </c>
      <c r="G12" s="44">
        <f t="shared" si="0"/>
        <v>0</v>
      </c>
      <c r="H12" s="44">
        <f t="shared" si="1"/>
        <v>0</v>
      </c>
      <c r="I12" s="186">
        <v>15</v>
      </c>
    </row>
    <row r="13" spans="1:9" ht="15.75" thickBot="1" x14ac:dyDescent="0.3">
      <c r="D13" s="42">
        <v>12</v>
      </c>
      <c r="E13" s="43">
        <f t="shared" si="2"/>
        <v>0</v>
      </c>
      <c r="F13" s="50">
        <v>0</v>
      </c>
      <c r="G13" s="44">
        <f t="shared" si="0"/>
        <v>0</v>
      </c>
      <c r="H13" s="44">
        <f t="shared" si="1"/>
        <v>0</v>
      </c>
      <c r="I13" s="187"/>
    </row>
    <row r="14" spans="1:9" ht="15.75" thickBot="1" x14ac:dyDescent="0.3">
      <c r="D14" s="42">
        <v>13</v>
      </c>
      <c r="E14" s="43">
        <f t="shared" si="2"/>
        <v>0</v>
      </c>
      <c r="F14" s="50">
        <v>0</v>
      </c>
      <c r="G14" s="44">
        <f t="shared" si="0"/>
        <v>0</v>
      </c>
      <c r="H14" s="44">
        <f t="shared" si="1"/>
        <v>0</v>
      </c>
      <c r="I14" s="187"/>
    </row>
    <row r="15" spans="1:9" ht="15.75" thickBot="1" x14ac:dyDescent="0.3">
      <c r="D15" s="42">
        <v>14</v>
      </c>
      <c r="E15" s="43">
        <f t="shared" si="2"/>
        <v>0</v>
      </c>
      <c r="F15" s="50">
        <v>0</v>
      </c>
      <c r="G15" s="44">
        <f t="shared" si="0"/>
        <v>0</v>
      </c>
      <c r="H15" s="44">
        <f t="shared" si="1"/>
        <v>0</v>
      </c>
      <c r="I15" s="188"/>
    </row>
    <row r="16" spans="1:9" ht="15.75" thickBot="1" x14ac:dyDescent="0.3">
      <c r="D16" s="42">
        <v>15</v>
      </c>
      <c r="E16" s="43">
        <f t="shared" si="2"/>
        <v>0</v>
      </c>
      <c r="F16" s="50">
        <v>0</v>
      </c>
      <c r="G16" s="44">
        <f t="shared" si="0"/>
        <v>0</v>
      </c>
      <c r="H16" s="44">
        <f t="shared" si="1"/>
        <v>0</v>
      </c>
      <c r="I16" s="48">
        <f>SUM(H2:H16)</f>
        <v>168.43680000000001</v>
      </c>
    </row>
    <row r="17" spans="4:9" ht="15.75" thickBot="1" x14ac:dyDescent="0.3">
      <c r="D17" s="42">
        <v>16</v>
      </c>
      <c r="E17" s="43">
        <f t="shared" si="2"/>
        <v>0</v>
      </c>
      <c r="F17" s="50">
        <v>0</v>
      </c>
      <c r="G17" s="44">
        <f t="shared" si="0"/>
        <v>0</v>
      </c>
      <c r="H17" s="44">
        <f t="shared" si="1"/>
        <v>0</v>
      </c>
      <c r="I17" s="186">
        <v>20</v>
      </c>
    </row>
    <row r="18" spans="4:9" ht="15.75" thickBot="1" x14ac:dyDescent="0.3">
      <c r="D18" s="42">
        <v>17</v>
      </c>
      <c r="E18" s="43">
        <f t="shared" si="2"/>
        <v>0</v>
      </c>
      <c r="F18" s="50">
        <v>0</v>
      </c>
      <c r="G18" s="44">
        <f t="shared" si="0"/>
        <v>0</v>
      </c>
      <c r="H18" s="44">
        <f t="shared" si="1"/>
        <v>0</v>
      </c>
      <c r="I18" s="187"/>
    </row>
    <row r="19" spans="4:9" ht="15.75" thickBot="1" x14ac:dyDescent="0.3">
      <c r="D19" s="42">
        <v>18</v>
      </c>
      <c r="E19" s="43">
        <f t="shared" si="2"/>
        <v>0</v>
      </c>
      <c r="F19" s="50">
        <v>0</v>
      </c>
      <c r="G19" s="44">
        <f t="shared" si="0"/>
        <v>0</v>
      </c>
      <c r="H19" s="44">
        <f t="shared" si="1"/>
        <v>0</v>
      </c>
      <c r="I19" s="187"/>
    </row>
    <row r="20" spans="4:9" ht="15.75" thickBot="1" x14ac:dyDescent="0.3">
      <c r="D20" s="42">
        <v>19</v>
      </c>
      <c r="E20" s="43">
        <f t="shared" si="2"/>
        <v>0</v>
      </c>
      <c r="F20" s="50">
        <v>0</v>
      </c>
      <c r="G20" s="44">
        <f t="shared" si="0"/>
        <v>0</v>
      </c>
      <c r="H20" s="44">
        <f t="shared" si="1"/>
        <v>0</v>
      </c>
      <c r="I20" s="188"/>
    </row>
    <row r="21" spans="4:9" ht="15.75" thickBot="1" x14ac:dyDescent="0.3">
      <c r="D21" s="45">
        <v>20</v>
      </c>
      <c r="E21" s="46">
        <f t="shared" si="2"/>
        <v>0</v>
      </c>
      <c r="F21" s="51">
        <v>0</v>
      </c>
      <c r="G21" s="47">
        <f t="shared" si="0"/>
        <v>0</v>
      </c>
      <c r="H21" s="47">
        <f t="shared" si="1"/>
        <v>0</v>
      </c>
      <c r="I21" s="49">
        <f>SUM(H2:H21)</f>
        <v>168.43680000000001</v>
      </c>
    </row>
  </sheetData>
  <mergeCells count="4">
    <mergeCell ref="I2:I5"/>
    <mergeCell ref="I7:I10"/>
    <mergeCell ref="I12:I15"/>
    <mergeCell ref="I17:I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JOGOS</vt:lpstr>
      <vt:lpstr>ANALISES</vt:lpstr>
      <vt:lpstr>GOLS e CANTOS</vt:lpstr>
      <vt:lpstr>TIPS</vt:lpstr>
      <vt:lpstr>PROJETO</vt:lpstr>
      <vt:lpstr>WHATS TIPS</vt:lpstr>
      <vt:lpstr>CALCULADORA</vt:lpstr>
      <vt:lpstr>+++ BANCA+++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Analise de Jogos</dc:title>
  <dc:subject>Analisa jogos com base no site nowgoal.com</dc:subject>
  <dc:creator>Rogerio Cordeiro</dc:creator>
  <dc:description>Realiza analise nos jogos de diversos campeonatos.</dc:description>
  <cp:lastModifiedBy>Rogerio</cp:lastModifiedBy>
  <cp:lastPrinted>2018-04-06T02:56:56Z</cp:lastPrinted>
  <dcterms:created xsi:type="dcterms:W3CDTF">2018-02-12T00:10:14Z</dcterms:created>
  <dcterms:modified xsi:type="dcterms:W3CDTF">2019-12-30T00:21:54Z</dcterms:modified>
</cp:coreProperties>
</file>